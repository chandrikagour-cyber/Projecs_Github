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\OneDrive\Desktop\Module_Study\MarketingAnalytics\CourseWork1\Kellogg\"/>
    </mc:Choice>
  </mc:AlternateContent>
  <xr:revisionPtr revIDLastSave="0" documentId="13_ncr:1_{7F1FE8CF-AB51-4757-8E31-7E2A71F17B93}" xr6:coauthVersionLast="47" xr6:coauthVersionMax="47" xr10:uidLastSave="{00000000-0000-0000-0000-000000000000}"/>
  <bookViews>
    <workbookView xWindow="-110" yWindow="-110" windowWidth="19420" windowHeight="10300" xr2:uid="{5F2C1305-7C24-41BE-BAC9-5948E2496D9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1" l="1"/>
  <c r="K37" i="1"/>
  <c r="J37" i="1"/>
  <c r="I37" i="1"/>
  <c r="H37" i="1"/>
  <c r="K36" i="1"/>
  <c r="J36" i="1"/>
  <c r="I36" i="1"/>
  <c r="H36" i="1"/>
  <c r="K35" i="1"/>
  <c r="J35" i="1"/>
  <c r="I35" i="1"/>
  <c r="H35" i="1"/>
  <c r="F35" i="1"/>
  <c r="K34" i="1"/>
  <c r="K38" i="1" s="1"/>
  <c r="J34" i="1"/>
  <c r="N34" i="1" s="1"/>
  <c r="I34" i="1"/>
  <c r="I38" i="1" s="1"/>
  <c r="H34" i="1"/>
  <c r="H38" i="1" s="1"/>
  <c r="N33" i="1"/>
  <c r="P33" i="1" s="1"/>
  <c r="P37" i="1" s="1"/>
  <c r="Q32" i="1"/>
  <c r="Q36" i="1" s="1"/>
  <c r="P32" i="1"/>
  <c r="P36" i="1" s="1"/>
  <c r="N32" i="1"/>
  <c r="O32" i="1" s="1"/>
  <c r="O36" i="1" s="1"/>
  <c r="N31" i="1"/>
  <c r="Q31" i="1" s="1"/>
  <c r="Q35" i="1" s="1"/>
  <c r="K30" i="1"/>
  <c r="J30" i="1"/>
  <c r="N30" i="1" s="1"/>
  <c r="I30" i="1"/>
  <c r="H30" i="1"/>
  <c r="N29" i="1"/>
  <c r="O29" i="1" s="1"/>
  <c r="N28" i="1"/>
  <c r="Q28" i="1" s="1"/>
  <c r="N27" i="1"/>
  <c r="Q27" i="1" s="1"/>
  <c r="K26" i="1"/>
  <c r="J26" i="1"/>
  <c r="N26" i="1" s="1"/>
  <c r="I26" i="1"/>
  <c r="H26" i="1"/>
  <c r="N25" i="1"/>
  <c r="Q25" i="1" s="1"/>
  <c r="N24" i="1"/>
  <c r="Q24" i="1" s="1"/>
  <c r="Q23" i="1"/>
  <c r="P23" i="1"/>
  <c r="N23" i="1"/>
  <c r="O23" i="1" s="1"/>
  <c r="K22" i="1"/>
  <c r="J22" i="1"/>
  <c r="N22" i="1" s="1"/>
  <c r="I22" i="1"/>
  <c r="H22" i="1"/>
  <c r="N21" i="1"/>
  <c r="Q21" i="1" s="1"/>
  <c r="N20" i="1"/>
  <c r="O20" i="1" s="1"/>
  <c r="N19" i="1"/>
  <c r="P19" i="1" s="1"/>
  <c r="K18" i="1"/>
  <c r="J18" i="1"/>
  <c r="N18" i="1" s="1"/>
  <c r="I18" i="1"/>
  <c r="H18" i="1"/>
  <c r="N17" i="1"/>
  <c r="Q17" i="1" s="1"/>
  <c r="N16" i="1"/>
  <c r="O16" i="1" s="1"/>
  <c r="N15" i="1"/>
  <c r="P15" i="1" s="1"/>
  <c r="J14" i="1"/>
  <c r="N14" i="1" s="1"/>
  <c r="I14" i="1"/>
  <c r="N13" i="1"/>
  <c r="O13" i="1" s="1"/>
  <c r="N12" i="1"/>
  <c r="P12" i="1" s="1"/>
  <c r="N11" i="1"/>
  <c r="Q11" i="1" s="1"/>
  <c r="J10" i="1"/>
  <c r="N10" i="1" s="1"/>
  <c r="I10" i="1"/>
  <c r="N9" i="1"/>
  <c r="Q9" i="1" s="1"/>
  <c r="N8" i="1"/>
  <c r="O8" i="1" s="1"/>
  <c r="N7" i="1"/>
  <c r="Q7" i="1" s="1"/>
  <c r="K6" i="1"/>
  <c r="J6" i="1"/>
  <c r="N6" i="1" s="1"/>
  <c r="I6" i="1"/>
  <c r="Q5" i="1"/>
  <c r="P5" i="1"/>
  <c r="O5" i="1"/>
  <c r="N5" i="1"/>
  <c r="N4" i="1"/>
  <c r="Q4" i="1" s="1"/>
  <c r="N3" i="1"/>
  <c r="Q3" i="1" s="1"/>
  <c r="Q6" i="1" l="1"/>
  <c r="P6" i="1"/>
  <c r="O6" i="1"/>
  <c r="Q22" i="1"/>
  <c r="P22" i="1"/>
  <c r="O22" i="1"/>
  <c r="P34" i="1"/>
  <c r="P38" i="1" s="1"/>
  <c r="Q34" i="1"/>
  <c r="Q38" i="1" s="1"/>
  <c r="O34" i="1"/>
  <c r="O38" i="1" s="1"/>
  <c r="Q10" i="1"/>
  <c r="P10" i="1"/>
  <c r="O10" i="1"/>
  <c r="O14" i="1"/>
  <c r="Q14" i="1"/>
  <c r="P14" i="1"/>
  <c r="Q26" i="1"/>
  <c r="O26" i="1"/>
  <c r="P26" i="1"/>
  <c r="Q18" i="1"/>
  <c r="P18" i="1"/>
  <c r="O18" i="1"/>
  <c r="P30" i="1"/>
  <c r="Q30" i="1"/>
  <c r="O30" i="1"/>
  <c r="O19" i="1"/>
  <c r="Q19" i="1"/>
  <c r="O33" i="1"/>
  <c r="O37" i="1" s="1"/>
  <c r="Q15" i="1"/>
  <c r="P20" i="1"/>
  <c r="P29" i="1"/>
  <c r="Q20" i="1"/>
  <c r="Q29" i="1"/>
  <c r="P16" i="1"/>
  <c r="Q16" i="1"/>
  <c r="P17" i="1"/>
  <c r="O3" i="1"/>
  <c r="J38" i="1"/>
  <c r="O28" i="1"/>
  <c r="O24" i="1"/>
  <c r="Q33" i="1"/>
  <c r="Q37" i="1" s="1"/>
  <c r="O11" i="1"/>
  <c r="O25" i="1"/>
  <c r="O21" i="1"/>
  <c r="P21" i="1"/>
  <c r="O7" i="1"/>
  <c r="O12" i="1"/>
  <c r="P7" i="1"/>
  <c r="Q12" i="1"/>
  <c r="P8" i="1"/>
  <c r="P13" i="1"/>
  <c r="Q8" i="1"/>
  <c r="Q13" i="1"/>
  <c r="P4" i="1"/>
  <c r="O9" i="1"/>
  <c r="P28" i="1"/>
  <c r="O15" i="1"/>
  <c r="P24" i="1"/>
  <c r="P11" i="1"/>
  <c r="P25" i="1"/>
  <c r="O17" i="1"/>
  <c r="P3" i="1"/>
  <c r="O31" i="1"/>
  <c r="O35" i="1" s="1"/>
  <c r="O4" i="1"/>
  <c r="P31" i="1"/>
  <c r="P35" i="1" s="1"/>
  <c r="O27" i="1"/>
  <c r="P9" i="1"/>
  <c r="P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chandrika gour</author>
  </authors>
  <commentList>
    <comment ref="I11" authorId="0" shapeId="0" xr:uid="{922A301D-7854-4CB3-8535-EC9F7EFA1E8E}">
      <text>
        <r>
          <rPr>
            <b/>
            <sz val="9"/>
            <color indexed="81"/>
            <rFont val="Tahoma"/>
            <family val="2"/>
          </rPr>
          <t>chandrika gour:</t>
        </r>
        <r>
          <rPr>
            <sz val="9"/>
            <color indexed="81"/>
            <rFont val="Tahoma"/>
            <family val="2"/>
          </rPr>
          <t xml:space="preserve">
Table 30 - Adjusted operating profit
</t>
        </r>
      </text>
    </comment>
  </commentList>
</comments>
</file>

<file path=xl/sharedStrings.xml><?xml version="1.0" encoding="utf-8"?>
<sst xmlns="http://schemas.openxmlformats.org/spreadsheetml/2006/main" count="71" uniqueCount="30">
  <si>
    <t>Year</t>
  </si>
  <si>
    <t xml:space="preserve">  Sales(bn)</t>
  </si>
  <si>
    <t>Operating Profit(mn)</t>
  </si>
  <si>
    <t>Cereal  Sales(mn)</t>
  </si>
  <si>
    <t>Advt Cost(mn)</t>
  </si>
  <si>
    <t>Annual COGS</t>
  </si>
  <si>
    <t>Quarter</t>
  </si>
  <si>
    <t>Company Sales</t>
  </si>
  <si>
    <t>Cereal Sales(mn)</t>
  </si>
  <si>
    <t>COGS(mn)</t>
  </si>
  <si>
    <t>Pricing</t>
  </si>
  <si>
    <t>Volume</t>
  </si>
  <si>
    <t>Quaterly Ratio</t>
  </si>
  <si>
    <t>Cereal Operating Profit(mn)</t>
  </si>
  <si>
    <t>Cereal CoGS</t>
  </si>
  <si>
    <t>Cereal Advt Cost</t>
  </si>
  <si>
    <t>2017</t>
  </si>
  <si>
    <t>Q1</t>
  </si>
  <si>
    <t>Q2</t>
  </si>
  <si>
    <t>Q3</t>
  </si>
  <si>
    <t>Q4</t>
  </si>
  <si>
    <t>2018</t>
  </si>
  <si>
    <t>2019</t>
  </si>
  <si>
    <t>2020</t>
  </si>
  <si>
    <t>2021</t>
  </si>
  <si>
    <t>2022</t>
  </si>
  <si>
    <t>2023</t>
  </si>
  <si>
    <t>2024/Kellanova</t>
  </si>
  <si>
    <t>2024/WKKellogg</t>
  </si>
  <si>
    <t>109 $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</si>
</sst>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/>
    </xf>
    <xf numFmtId="0" fontId="4" fillId="0" borderId="0" xfId="1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43AD7A06-90EF-4CAD-A5AE-8A617BBE18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BD5D-B9D0-4184-8703-C79434B1A2E7}">
  <dimension ref="A1:Q69"/>
  <sheetViews>
    <sheetView tabSelected="1" workbookViewId="0">
      <selection activeCell="C11" sqref="C11:C14"/>
    </sheetView>
  </sheetViews>
  <sheetFormatPr defaultRowHeight="15.5" thickTop="1" thickBottom="1" x14ac:dyDescent="0.4"/>
  <cols>
    <col min="1" max="1" width="14.90625" style="21" bestFit="1" customWidth="1"/>
    <col min="2" max="2" width="9.54296875" style="21" bestFit="1" customWidth="1"/>
    <col min="3" max="3" width="18.08984375" style="21" bestFit="1" customWidth="1"/>
    <col min="4" max="4" width="15.6328125" style="21" bestFit="1" customWidth="1"/>
    <col min="5" max="5" width="12.7265625" style="21" bestFit="1" customWidth="1"/>
    <col min="6" max="6" width="12" style="10" bestFit="1" customWidth="1"/>
    <col min="7" max="7" width="7.08984375" style="10" bestFit="1" customWidth="1"/>
    <col min="8" max="8" width="13.81640625" style="10" bestFit="1" customWidth="1"/>
    <col min="9" max="9" width="18.08984375" style="10" bestFit="1" customWidth="1"/>
    <col min="10" max="10" width="15.26953125" style="10" bestFit="1" customWidth="1"/>
    <col min="11" max="11" width="9.7265625" style="22" bestFit="1" customWidth="1"/>
    <col min="12" max="13" width="9.7265625" style="8" customWidth="1"/>
    <col min="14" max="14" width="12.6328125" style="10" bestFit="1" customWidth="1"/>
    <col min="15" max="15" width="24" style="10" bestFit="1" customWidth="1"/>
    <col min="16" max="16" width="11.26953125" style="10" bestFit="1" customWidth="1"/>
    <col min="17" max="17" width="14.6328125" style="10" bestFit="1" customWidth="1"/>
    <col min="18" max="16384" width="8.7265625" style="10"/>
  </cols>
  <sheetData>
    <row r="1" spans="1:17" customFormat="1" thickTop="1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2</v>
      </c>
      <c r="J1" s="3" t="s">
        <v>8</v>
      </c>
      <c r="K1" s="4" t="s">
        <v>9</v>
      </c>
      <c r="L1" s="4" t="s">
        <v>10</v>
      </c>
      <c r="M1" s="4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thickTop="1" thickBot="1" x14ac:dyDescent="0.4">
      <c r="A2" s="5"/>
      <c r="B2" s="6"/>
      <c r="C2" s="5"/>
      <c r="D2" s="5"/>
      <c r="E2" s="5"/>
      <c r="F2" s="5"/>
      <c r="G2" s="5"/>
      <c r="H2" s="6"/>
      <c r="I2" s="5"/>
      <c r="J2" s="5"/>
      <c r="K2" s="7"/>
      <c r="N2" s="6"/>
      <c r="O2" s="9"/>
      <c r="P2" s="9"/>
      <c r="Q2" s="9"/>
    </row>
    <row r="3" spans="1:17" ht="14.5" customHeight="1" thickTop="1" thickBot="1" x14ac:dyDescent="0.4">
      <c r="A3" s="11" t="s">
        <v>16</v>
      </c>
      <c r="B3" s="12">
        <v>12.853999999999999</v>
      </c>
      <c r="C3" s="13">
        <v>1387</v>
      </c>
      <c r="D3" s="13">
        <v>5222</v>
      </c>
      <c r="E3" s="13">
        <v>732</v>
      </c>
      <c r="F3" s="13">
        <v>8155</v>
      </c>
      <c r="G3" s="5" t="s">
        <v>17</v>
      </c>
      <c r="H3" s="14">
        <v>3248</v>
      </c>
      <c r="I3" s="14">
        <v>280</v>
      </c>
      <c r="J3" s="14">
        <v>1298</v>
      </c>
      <c r="K3" s="15">
        <v>2088</v>
      </c>
      <c r="L3" s="8">
        <v>1.2</v>
      </c>
      <c r="M3" s="8">
        <v>-0.5</v>
      </c>
      <c r="N3" s="16">
        <f>(J3/1000)/$B$3</f>
        <v>0.1009802396141279</v>
      </c>
      <c r="O3" s="16">
        <f>N3*I3</f>
        <v>28.274467091955813</v>
      </c>
      <c r="P3" s="16">
        <f t="shared" ref="P3:P34" si="0">N3*K3</f>
        <v>210.84674031429907</v>
      </c>
      <c r="Q3" s="16">
        <f>N3*$E$3</f>
        <v>73.917535397541627</v>
      </c>
    </row>
    <row r="4" spans="1:17" ht="14.5" customHeight="1" thickTop="1" thickBot="1" x14ac:dyDescent="0.4">
      <c r="A4" s="11"/>
      <c r="B4" s="12"/>
      <c r="C4" s="13"/>
      <c r="D4" s="13"/>
      <c r="E4" s="13"/>
      <c r="F4" s="13"/>
      <c r="G4" s="5" t="s">
        <v>18</v>
      </c>
      <c r="H4" s="14">
        <v>3175</v>
      </c>
      <c r="I4" s="14">
        <v>385</v>
      </c>
      <c r="J4" s="14">
        <v>1305</v>
      </c>
      <c r="K4" s="15">
        <v>1950</v>
      </c>
      <c r="L4" s="8">
        <v>1</v>
      </c>
      <c r="M4" s="8">
        <v>-0.8</v>
      </c>
      <c r="N4" s="16">
        <f t="shared" ref="N4:N6" si="1">(J4/1000)/$B$3</f>
        <v>0.10152481717753228</v>
      </c>
      <c r="O4" s="16">
        <f t="shared" ref="O4:O6" si="2">N4*I4</f>
        <v>39.087054613349927</v>
      </c>
      <c r="P4" s="16">
        <f t="shared" si="0"/>
        <v>197.97339349618795</v>
      </c>
      <c r="Q4" s="16">
        <f t="shared" ref="Q4:Q6" si="3">N4*$E$3</f>
        <v>74.316166173953633</v>
      </c>
    </row>
    <row r="5" spans="1:17" ht="14.5" customHeight="1" thickTop="1" thickBot="1" x14ac:dyDescent="0.4">
      <c r="A5" s="11"/>
      <c r="B5" s="12"/>
      <c r="C5" s="13"/>
      <c r="D5" s="13"/>
      <c r="E5" s="13"/>
      <c r="F5" s="13"/>
      <c r="G5" s="5" t="s">
        <v>19</v>
      </c>
      <c r="H5" s="14">
        <v>3246</v>
      </c>
      <c r="I5" s="14">
        <v>333</v>
      </c>
      <c r="J5" s="14">
        <v>1355</v>
      </c>
      <c r="K5" s="15">
        <v>2074</v>
      </c>
      <c r="L5" s="8">
        <v>0.9</v>
      </c>
      <c r="M5" s="8">
        <v>-1.1000000000000001</v>
      </c>
      <c r="N5" s="16">
        <f t="shared" si="1"/>
        <v>0.10541465691613507</v>
      </c>
      <c r="O5" s="16">
        <f t="shared" si="2"/>
        <v>35.10308075307298</v>
      </c>
      <c r="P5" s="16">
        <f t="shared" si="0"/>
        <v>218.62999844406411</v>
      </c>
      <c r="Q5" s="16">
        <f t="shared" si="3"/>
        <v>77.163528862610875</v>
      </c>
    </row>
    <row r="6" spans="1:17" ht="14.5" customHeight="1" thickTop="1" thickBot="1" x14ac:dyDescent="0.4">
      <c r="A6" s="11"/>
      <c r="B6" s="12"/>
      <c r="C6" s="13"/>
      <c r="D6" s="13"/>
      <c r="E6" s="13"/>
      <c r="F6" s="13"/>
      <c r="G6" s="5" t="s">
        <v>20</v>
      </c>
      <c r="H6" s="14">
        <v>3185</v>
      </c>
      <c r="I6" s="14">
        <f>C3-SUM(I3:I5)</f>
        <v>389</v>
      </c>
      <c r="J6" s="14">
        <f>D3-SUM(J3:J5)</f>
        <v>1264</v>
      </c>
      <c r="K6" s="15">
        <f>7903-SUM(K3:K5)</f>
        <v>1791</v>
      </c>
      <c r="L6" s="8">
        <v>1.3</v>
      </c>
      <c r="M6" s="8">
        <v>-0.6</v>
      </c>
      <c r="N6" s="16">
        <f t="shared" si="1"/>
        <v>9.8335148591878016E-2</v>
      </c>
      <c r="O6" s="16">
        <f t="shared" si="2"/>
        <v>38.252372802240551</v>
      </c>
      <c r="P6" s="16">
        <f t="shared" si="0"/>
        <v>176.11825112805352</v>
      </c>
      <c r="Q6" s="16">
        <f t="shared" si="3"/>
        <v>71.981328769254702</v>
      </c>
    </row>
    <row r="7" spans="1:17" thickTop="1" thickBot="1" x14ac:dyDescent="0.4">
      <c r="A7" s="11" t="s">
        <v>21</v>
      </c>
      <c r="B7" s="12">
        <v>13.547000000000001</v>
      </c>
      <c r="C7" s="13">
        <v>1706</v>
      </c>
      <c r="D7" s="13">
        <v>5203</v>
      </c>
      <c r="E7" s="13">
        <v>752</v>
      </c>
      <c r="F7" s="13">
        <v>8821</v>
      </c>
      <c r="G7" s="5" t="s">
        <v>17</v>
      </c>
      <c r="H7" s="14">
        <v>3401</v>
      </c>
      <c r="I7" s="14">
        <v>510</v>
      </c>
      <c r="J7" s="14">
        <v>1351</v>
      </c>
      <c r="K7" s="15">
        <v>2149</v>
      </c>
      <c r="L7" s="8">
        <v>0.8</v>
      </c>
      <c r="M7" s="8">
        <v>-1.5</v>
      </c>
      <c r="N7" s="16">
        <f>(J7/1000)/$B$7</f>
        <v>9.9726876799291347E-2</v>
      </c>
      <c r="O7" s="16">
        <f>N7*I7</f>
        <v>50.860707167638587</v>
      </c>
      <c r="P7" s="16">
        <f t="shared" si="0"/>
        <v>214.31305824167711</v>
      </c>
      <c r="Q7" s="16">
        <f>N7*$E$7</f>
        <v>74.9946113530671</v>
      </c>
    </row>
    <row r="8" spans="1:17" thickTop="1" thickBot="1" x14ac:dyDescent="0.4">
      <c r="A8" s="11"/>
      <c r="B8" s="12"/>
      <c r="C8" s="13"/>
      <c r="D8" s="13"/>
      <c r="E8" s="13"/>
      <c r="F8" s="13"/>
      <c r="G8" s="5" t="s">
        <v>18</v>
      </c>
      <c r="H8" s="14">
        <v>3360</v>
      </c>
      <c r="I8" s="14">
        <v>474</v>
      </c>
      <c r="J8" s="14">
        <v>1304</v>
      </c>
      <c r="K8" s="15">
        <v>2151</v>
      </c>
      <c r="L8" s="8">
        <v>1.1000000000000001</v>
      </c>
      <c r="M8" s="8">
        <v>-2</v>
      </c>
      <c r="N8" s="16">
        <f t="shared" ref="N8:N10" si="4">(J8/1000)/$B$7</f>
        <v>9.6257473979478855E-2</v>
      </c>
      <c r="O8" s="16">
        <f t="shared" ref="O8:O34" si="5">N8*I8</f>
        <v>45.62604266627298</v>
      </c>
      <c r="P8" s="16">
        <f t="shared" si="0"/>
        <v>207.04982652985902</v>
      </c>
      <c r="Q8" s="16">
        <f t="shared" ref="Q8:Q10" si="6">N8*$E$7</f>
        <v>72.385620432568103</v>
      </c>
    </row>
    <row r="9" spans="1:17" thickTop="1" thickBot="1" x14ac:dyDescent="0.4">
      <c r="A9" s="11"/>
      <c r="B9" s="12"/>
      <c r="C9" s="13"/>
      <c r="D9" s="13"/>
      <c r="E9" s="13"/>
      <c r="F9" s="13"/>
      <c r="G9" s="5" t="s">
        <v>19</v>
      </c>
      <c r="H9" s="14">
        <v>3469</v>
      </c>
      <c r="I9" s="14">
        <v>396</v>
      </c>
      <c r="J9" s="14">
        <v>1330</v>
      </c>
      <c r="K9" s="15">
        <v>2293</v>
      </c>
      <c r="L9" s="8">
        <v>1.4</v>
      </c>
      <c r="M9" s="8">
        <v>-2.2999999999999998</v>
      </c>
      <c r="N9" s="16">
        <f t="shared" si="4"/>
        <v>9.8176718092566617E-2</v>
      </c>
      <c r="O9" s="16">
        <f t="shared" si="5"/>
        <v>38.877980364656381</v>
      </c>
      <c r="P9" s="16">
        <f t="shared" si="0"/>
        <v>225.11921458625525</v>
      </c>
      <c r="Q9" s="16">
        <f t="shared" si="6"/>
        <v>73.828892005610101</v>
      </c>
    </row>
    <row r="10" spans="1:17" thickTop="1" thickBot="1" x14ac:dyDescent="0.4">
      <c r="A10" s="11"/>
      <c r="B10" s="12"/>
      <c r="C10" s="13"/>
      <c r="D10" s="13"/>
      <c r="E10" s="13"/>
      <c r="F10" s="13"/>
      <c r="G10" s="5" t="s">
        <v>20</v>
      </c>
      <c r="H10" s="14">
        <v>3317</v>
      </c>
      <c r="I10" s="14">
        <f>1706-I7-I8-I9</f>
        <v>326</v>
      </c>
      <c r="J10" s="14">
        <f>D7-J7-J8-J9</f>
        <v>1218</v>
      </c>
      <c r="K10" s="15">
        <v>2228</v>
      </c>
      <c r="L10" s="8">
        <v>1.6</v>
      </c>
      <c r="M10" s="8">
        <v>-1.9</v>
      </c>
      <c r="N10" s="16">
        <f t="shared" si="4"/>
        <v>8.9909204990034686E-2</v>
      </c>
      <c r="O10" s="16">
        <f t="shared" si="5"/>
        <v>29.310400826751309</v>
      </c>
      <c r="P10" s="16">
        <f t="shared" si="0"/>
        <v>200.31770871779727</v>
      </c>
      <c r="Q10" s="16">
        <f t="shared" si="6"/>
        <v>67.61172215250609</v>
      </c>
    </row>
    <row r="11" spans="1:17" thickTop="1" thickBot="1" x14ac:dyDescent="0.4">
      <c r="A11" s="11" t="s">
        <v>22</v>
      </c>
      <c r="B11" s="12">
        <v>13.577999999999999</v>
      </c>
      <c r="C11" s="13">
        <v>1401</v>
      </c>
      <c r="D11" s="13">
        <v>5029</v>
      </c>
      <c r="E11" s="13">
        <v>676</v>
      </c>
      <c r="F11" s="13">
        <v>9197</v>
      </c>
      <c r="G11" s="5" t="s">
        <v>17</v>
      </c>
      <c r="H11" s="14">
        <v>3522</v>
      </c>
      <c r="I11" s="14">
        <v>381</v>
      </c>
      <c r="J11" s="14">
        <v>1275</v>
      </c>
      <c r="K11" s="15">
        <v>2415</v>
      </c>
      <c r="L11" s="8">
        <v>1.7</v>
      </c>
      <c r="M11" s="8">
        <v>-2.5</v>
      </c>
      <c r="N11" s="16">
        <f>(J11/1000)/$B$11</f>
        <v>9.3901900132567384E-2</v>
      </c>
      <c r="O11" s="16">
        <f t="shared" si="5"/>
        <v>35.776623950508174</v>
      </c>
      <c r="P11" s="16">
        <f t="shared" si="0"/>
        <v>226.77308882015024</v>
      </c>
      <c r="Q11" s="16">
        <f>N11*$E$11</f>
        <v>63.477684489615555</v>
      </c>
    </row>
    <row r="12" spans="1:17" thickTop="1" thickBot="1" x14ac:dyDescent="0.4">
      <c r="A12" s="11"/>
      <c r="B12" s="12"/>
      <c r="C12" s="13"/>
      <c r="D12" s="13"/>
      <c r="E12" s="13"/>
      <c r="F12" s="13"/>
      <c r="G12" s="5" t="s">
        <v>18</v>
      </c>
      <c r="H12" s="14">
        <v>3461</v>
      </c>
      <c r="I12" s="14">
        <v>397</v>
      </c>
      <c r="J12" s="14">
        <v>1256</v>
      </c>
      <c r="K12" s="15">
        <v>2275</v>
      </c>
      <c r="L12" s="8">
        <v>2</v>
      </c>
      <c r="M12" s="8">
        <v>-3</v>
      </c>
      <c r="N12" s="16">
        <f t="shared" ref="N12:N14" si="7">(J12/1000)/$B$11</f>
        <v>9.2502577699219324E-2</v>
      </c>
      <c r="O12" s="16">
        <f t="shared" si="5"/>
        <v>36.723523346590071</v>
      </c>
      <c r="P12" s="16">
        <f t="shared" si="0"/>
        <v>210.44336426572397</v>
      </c>
      <c r="Q12" s="16">
        <f t="shared" ref="Q12:Q14" si="8">N12*$E$11</f>
        <v>62.531742524672261</v>
      </c>
    </row>
    <row r="13" spans="1:17" thickTop="1" thickBot="1" x14ac:dyDescent="0.4">
      <c r="A13" s="11"/>
      <c r="B13" s="12"/>
      <c r="C13" s="13"/>
      <c r="D13" s="13"/>
      <c r="E13" s="13"/>
      <c r="F13" s="13"/>
      <c r="G13" s="5" t="s">
        <v>19</v>
      </c>
      <c r="H13" s="14">
        <v>3372</v>
      </c>
      <c r="I13" s="14">
        <v>263</v>
      </c>
      <c r="J13" s="14">
        <v>1280</v>
      </c>
      <c r="K13" s="15">
        <v>2372</v>
      </c>
      <c r="L13" s="8">
        <v>2.2999999999999998</v>
      </c>
      <c r="M13" s="8">
        <v>-2.8</v>
      </c>
      <c r="N13" s="16">
        <f t="shared" si="7"/>
        <v>9.4270142878185303E-2</v>
      </c>
      <c r="O13" s="16">
        <f t="shared" si="5"/>
        <v>24.793047576962735</v>
      </c>
      <c r="P13" s="16">
        <f t="shared" si="0"/>
        <v>223.60877890705555</v>
      </c>
      <c r="Q13" s="16">
        <f t="shared" si="8"/>
        <v>63.726616585653268</v>
      </c>
    </row>
    <row r="14" spans="1:17" thickTop="1" thickBot="1" x14ac:dyDescent="0.4">
      <c r="A14" s="11"/>
      <c r="B14" s="12"/>
      <c r="C14" s="13"/>
      <c r="D14" s="13"/>
      <c r="E14" s="13"/>
      <c r="F14" s="13"/>
      <c r="G14" s="5" t="s">
        <v>20</v>
      </c>
      <c r="H14" s="14">
        <v>3223</v>
      </c>
      <c r="I14" s="14">
        <f>C11-(SUM(I11:I13))</f>
        <v>360</v>
      </c>
      <c r="J14" s="14">
        <f>D11-SUM(J11:J13)</f>
        <v>1218</v>
      </c>
      <c r="K14" s="15">
        <v>2135</v>
      </c>
      <c r="L14" s="8">
        <v>2.5</v>
      </c>
      <c r="M14" s="8">
        <v>-2.2000000000000002</v>
      </c>
      <c r="N14" s="16">
        <f t="shared" si="7"/>
        <v>8.9703932832523203E-2</v>
      </c>
      <c r="O14" s="16">
        <f t="shared" si="5"/>
        <v>32.293415819708351</v>
      </c>
      <c r="P14" s="16">
        <f t="shared" si="0"/>
        <v>191.51789659743704</v>
      </c>
      <c r="Q14" s="16">
        <f t="shared" si="8"/>
        <v>60.639858594785686</v>
      </c>
    </row>
    <row r="15" spans="1:17" ht="15.5" customHeight="1" thickTop="1" thickBot="1" x14ac:dyDescent="0.4">
      <c r="A15" s="17" t="s">
        <v>23</v>
      </c>
      <c r="B15" s="12">
        <v>13.77</v>
      </c>
      <c r="C15" s="13">
        <v>1761</v>
      </c>
      <c r="D15" s="13">
        <v>5433</v>
      </c>
      <c r="E15" s="13">
        <v>781</v>
      </c>
      <c r="F15" s="13">
        <v>9043</v>
      </c>
      <c r="G15" s="5" t="s">
        <v>17</v>
      </c>
      <c r="H15" s="14">
        <v>3412</v>
      </c>
      <c r="I15" s="14">
        <v>459</v>
      </c>
      <c r="J15" s="14">
        <v>1554</v>
      </c>
      <c r="K15" s="15">
        <v>2268</v>
      </c>
      <c r="L15" s="8">
        <v>3.5</v>
      </c>
      <c r="M15" s="8">
        <v>5.8</v>
      </c>
      <c r="N15" s="16">
        <f>(J15/1000)/$B$15</f>
        <v>0.11285403050108933</v>
      </c>
      <c r="O15" s="16">
        <f t="shared" si="5"/>
        <v>51.800000000000004</v>
      </c>
      <c r="P15" s="16">
        <f t="shared" si="0"/>
        <v>255.9529411764706</v>
      </c>
      <c r="Q15" s="16">
        <f>N15*$E$15</f>
        <v>88.13899782135077</v>
      </c>
    </row>
    <row r="16" spans="1:17" ht="15.5" customHeight="1" thickTop="1" thickBot="1" x14ac:dyDescent="0.4">
      <c r="A16" s="17"/>
      <c r="B16" s="12"/>
      <c r="C16" s="13"/>
      <c r="D16" s="13"/>
      <c r="E16" s="13"/>
      <c r="F16" s="13"/>
      <c r="G16" s="5" t="s">
        <v>18</v>
      </c>
      <c r="H16" s="14">
        <v>3465</v>
      </c>
      <c r="I16" s="14">
        <v>506</v>
      </c>
      <c r="J16" s="14">
        <v>1444</v>
      </c>
      <c r="K16" s="15">
        <v>2268</v>
      </c>
      <c r="L16" s="8">
        <v>3.8</v>
      </c>
      <c r="M16" s="8">
        <v>6.2</v>
      </c>
      <c r="N16" s="16">
        <f t="shared" ref="N16:N18" si="9">(J16/1000)/$B$15</f>
        <v>0.10486564996368918</v>
      </c>
      <c r="O16" s="16">
        <f t="shared" si="5"/>
        <v>53.06201888162672</v>
      </c>
      <c r="P16" s="16">
        <f t="shared" si="0"/>
        <v>237.83529411764704</v>
      </c>
      <c r="Q16" s="16">
        <f t="shared" ref="Q16:Q18" si="10">N16*$E$15</f>
        <v>81.900072621641243</v>
      </c>
    </row>
    <row r="17" spans="1:17" ht="15.5" customHeight="1" thickTop="1" thickBot="1" x14ac:dyDescent="0.4">
      <c r="A17" s="17"/>
      <c r="B17" s="12"/>
      <c r="C17" s="13"/>
      <c r="D17" s="13"/>
      <c r="E17" s="13"/>
      <c r="F17" s="13"/>
      <c r="G17" s="5" t="s">
        <v>19</v>
      </c>
      <c r="H17" s="14">
        <v>3429</v>
      </c>
      <c r="I17" s="14">
        <v>411</v>
      </c>
      <c r="J17" s="14">
        <v>1324</v>
      </c>
      <c r="K17" s="15">
        <v>2228</v>
      </c>
      <c r="L17" s="8">
        <v>4</v>
      </c>
      <c r="M17" s="8">
        <v>5.5</v>
      </c>
      <c r="N17" s="16">
        <f t="shared" si="9"/>
        <v>9.6151053013798116E-2</v>
      </c>
      <c r="O17" s="16">
        <f t="shared" si="5"/>
        <v>39.518082788671023</v>
      </c>
      <c r="P17" s="16">
        <f t="shared" si="0"/>
        <v>214.2245461147422</v>
      </c>
      <c r="Q17" s="16">
        <f t="shared" si="10"/>
        <v>75.093972403776334</v>
      </c>
    </row>
    <row r="18" spans="1:17" ht="15.5" customHeight="1" thickTop="1" thickBot="1" x14ac:dyDescent="0.4">
      <c r="A18" s="17"/>
      <c r="B18" s="12"/>
      <c r="C18" s="13"/>
      <c r="D18" s="13"/>
      <c r="E18" s="13"/>
      <c r="F18" s="13"/>
      <c r="G18" s="5" t="s">
        <v>20</v>
      </c>
      <c r="H18" s="14">
        <f>(B15*1000)- SUM(H15:H17)</f>
        <v>3464</v>
      </c>
      <c r="I18" s="14">
        <f>(C15)- SUM(I15:I17)</f>
        <v>385</v>
      </c>
      <c r="J18" s="14">
        <f>(D15)- SUM(J15:J17)</f>
        <v>1111</v>
      </c>
      <c r="K18" s="15">
        <f>(F15)- SUM(K15:K17)</f>
        <v>2279</v>
      </c>
      <c r="L18" s="8">
        <v>4.2</v>
      </c>
      <c r="M18" s="8">
        <v>4.9000000000000004</v>
      </c>
      <c r="N18" s="16">
        <f t="shared" si="9"/>
        <v>8.0682643427741466E-2</v>
      </c>
      <c r="O18" s="16">
        <f t="shared" si="5"/>
        <v>31.062817719680464</v>
      </c>
      <c r="P18" s="16">
        <f t="shared" si="0"/>
        <v>183.8757443718228</v>
      </c>
      <c r="Q18" s="16">
        <f t="shared" si="10"/>
        <v>63.013144517066081</v>
      </c>
    </row>
    <row r="19" spans="1:17" ht="15.5" customHeight="1" thickTop="1" thickBot="1" x14ac:dyDescent="0.4">
      <c r="A19" s="17" t="s">
        <v>24</v>
      </c>
      <c r="B19" s="12">
        <v>14.18</v>
      </c>
      <c r="C19" s="13">
        <v>1752</v>
      </c>
      <c r="D19" s="13">
        <v>5123</v>
      </c>
      <c r="E19" s="13">
        <v>541</v>
      </c>
      <c r="F19" s="13">
        <v>7929</v>
      </c>
      <c r="G19" s="5" t="s">
        <v>17</v>
      </c>
      <c r="H19" s="14">
        <v>3584</v>
      </c>
      <c r="I19" s="14">
        <v>472</v>
      </c>
      <c r="J19" s="14">
        <v>1374</v>
      </c>
      <c r="K19" s="15">
        <v>2418</v>
      </c>
      <c r="L19" s="8">
        <v>4.5</v>
      </c>
      <c r="M19" s="8">
        <v>-1.2</v>
      </c>
      <c r="N19" s="16">
        <f>(J19/1000)/$B$19</f>
        <v>9.6897038081805373E-2</v>
      </c>
      <c r="O19" s="16">
        <f t="shared" si="5"/>
        <v>45.735401974612138</v>
      </c>
      <c r="P19" s="16">
        <f t="shared" si="0"/>
        <v>234.2970380818054</v>
      </c>
      <c r="Q19" s="16">
        <f>N19*$E$19</f>
        <v>52.421297602256708</v>
      </c>
    </row>
    <row r="20" spans="1:17" ht="15.5" customHeight="1" thickTop="1" thickBot="1" x14ac:dyDescent="0.4">
      <c r="A20" s="17"/>
      <c r="B20" s="12"/>
      <c r="C20" s="13"/>
      <c r="D20" s="13"/>
      <c r="E20" s="13"/>
      <c r="F20" s="13"/>
      <c r="G20" s="5" t="s">
        <v>18</v>
      </c>
      <c r="H20" s="14">
        <v>3555</v>
      </c>
      <c r="I20" s="14">
        <v>504</v>
      </c>
      <c r="J20" s="14">
        <v>1336</v>
      </c>
      <c r="K20" s="15">
        <v>2331</v>
      </c>
      <c r="L20" s="8">
        <v>5</v>
      </c>
      <c r="M20" s="8">
        <v>-1.5</v>
      </c>
      <c r="N20" s="16">
        <f t="shared" ref="N20:N22" si="11">(J20/1000)/$B$19</f>
        <v>9.4217207334273634E-2</v>
      </c>
      <c r="O20" s="16">
        <f t="shared" si="5"/>
        <v>47.485472496473911</v>
      </c>
      <c r="P20" s="16">
        <f t="shared" si="0"/>
        <v>219.62031029619183</v>
      </c>
      <c r="Q20" s="16">
        <f t="shared" ref="Q20:Q22" si="12">N20*$E$19</f>
        <v>50.971509167842036</v>
      </c>
    </row>
    <row r="21" spans="1:17" ht="15.5" customHeight="1" thickTop="1" thickBot="1" x14ac:dyDescent="0.4">
      <c r="A21" s="17"/>
      <c r="B21" s="12"/>
      <c r="C21" s="13"/>
      <c r="D21" s="13"/>
      <c r="E21" s="13"/>
      <c r="F21" s="13"/>
      <c r="G21" s="5" t="s">
        <v>19</v>
      </c>
      <c r="H21" s="14">
        <v>3622</v>
      </c>
      <c r="I21" s="14">
        <v>447</v>
      </c>
      <c r="J21" s="14">
        <v>1313</v>
      </c>
      <c r="K21" s="15">
        <v>2457</v>
      </c>
      <c r="L21" s="8">
        <v>5.3</v>
      </c>
      <c r="M21" s="8">
        <v>-2</v>
      </c>
      <c r="N21" s="16">
        <f t="shared" si="11"/>
        <v>9.2595204513399157E-2</v>
      </c>
      <c r="O21" s="16">
        <f t="shared" si="5"/>
        <v>41.390056417489426</v>
      </c>
      <c r="P21" s="16">
        <f t="shared" si="0"/>
        <v>227.50641748942172</v>
      </c>
      <c r="Q21" s="16">
        <f t="shared" si="12"/>
        <v>50.094005641748943</v>
      </c>
    </row>
    <row r="22" spans="1:17" ht="15.5" customHeight="1" thickTop="1" thickBot="1" x14ac:dyDescent="0.4">
      <c r="A22" s="17"/>
      <c r="B22" s="12"/>
      <c r="C22" s="13"/>
      <c r="D22" s="13"/>
      <c r="E22" s="13"/>
      <c r="F22" s="13"/>
      <c r="G22" s="5" t="s">
        <v>20</v>
      </c>
      <c r="H22" s="14">
        <f>(B19*1000)- SUM(H19:H21)</f>
        <v>3419</v>
      </c>
      <c r="I22" s="14">
        <f>(C19)- SUM(I19:I21)</f>
        <v>329</v>
      </c>
      <c r="J22" s="14">
        <f>(D19)- SUM(J19:J21)</f>
        <v>1100</v>
      </c>
      <c r="K22" s="15">
        <f>(F19)- SUM(K19:K21)</f>
        <v>723</v>
      </c>
      <c r="L22" s="8">
        <v>5.5</v>
      </c>
      <c r="M22" s="8">
        <v>-2.2999999999999998</v>
      </c>
      <c r="N22" s="16">
        <f t="shared" si="11"/>
        <v>7.7574047954866013E-2</v>
      </c>
      <c r="O22" s="16">
        <f t="shared" si="5"/>
        <v>25.521861777150917</v>
      </c>
      <c r="P22" s="16">
        <f t="shared" si="0"/>
        <v>56.086036671368127</v>
      </c>
      <c r="Q22" s="16">
        <f t="shared" si="12"/>
        <v>41.967559943582515</v>
      </c>
    </row>
    <row r="23" spans="1:17" ht="15.5" customHeight="1" thickTop="1" thickBot="1" x14ac:dyDescent="0.4">
      <c r="A23" s="17" t="s">
        <v>25</v>
      </c>
      <c r="B23" s="12">
        <v>15.32</v>
      </c>
      <c r="C23" s="13">
        <v>1635</v>
      </c>
      <c r="D23" s="13">
        <v>5280</v>
      </c>
      <c r="E23" s="13">
        <v>549</v>
      </c>
      <c r="F23" s="13">
        <v>8842</v>
      </c>
      <c r="G23" s="5" t="s">
        <v>17</v>
      </c>
      <c r="H23" s="14">
        <v>3672</v>
      </c>
      <c r="I23" s="14">
        <v>517</v>
      </c>
      <c r="J23" s="14">
        <v>1281</v>
      </c>
      <c r="K23" s="15">
        <v>2513</v>
      </c>
      <c r="L23" s="8">
        <v>6.2</v>
      </c>
      <c r="M23" s="8">
        <v>-3.5</v>
      </c>
      <c r="N23" s="16">
        <f>(J23/1000)/$B$23</f>
        <v>8.3616187989556126E-2</v>
      </c>
      <c r="O23" s="16">
        <f t="shared" si="5"/>
        <v>43.229569190600515</v>
      </c>
      <c r="P23" s="16">
        <f t="shared" si="0"/>
        <v>210.12748041775455</v>
      </c>
      <c r="Q23" s="16">
        <f>N23*$E$23</f>
        <v>45.905287206266316</v>
      </c>
    </row>
    <row r="24" spans="1:17" ht="15.5" customHeight="1" thickTop="1" thickBot="1" x14ac:dyDescent="0.4">
      <c r="A24" s="17"/>
      <c r="B24" s="12"/>
      <c r="C24" s="13"/>
      <c r="D24" s="13"/>
      <c r="E24" s="13"/>
      <c r="F24" s="13"/>
      <c r="G24" s="5" t="s">
        <v>18</v>
      </c>
      <c r="H24" s="14">
        <v>3864</v>
      </c>
      <c r="I24" s="14">
        <v>415</v>
      </c>
      <c r="J24" s="14">
        <v>1342</v>
      </c>
      <c r="K24" s="15">
        <v>2721</v>
      </c>
      <c r="L24" s="8">
        <v>6.5</v>
      </c>
      <c r="M24" s="8">
        <v>-4</v>
      </c>
      <c r="N24" s="16">
        <f>(J24/1000)/$B$23</f>
        <v>8.7597911227154046E-2</v>
      </c>
      <c r="O24" s="16">
        <f t="shared" si="5"/>
        <v>36.353133159268928</v>
      </c>
      <c r="P24" s="16">
        <f t="shared" si="0"/>
        <v>238.35391644908617</v>
      </c>
      <c r="Q24" s="16">
        <f t="shared" ref="Q24:Q26" si="13">N24*$E$23</f>
        <v>48.091253263707571</v>
      </c>
    </row>
    <row r="25" spans="1:17" ht="15.5" customHeight="1" thickTop="1" thickBot="1" x14ac:dyDescent="0.4">
      <c r="A25" s="17"/>
      <c r="B25" s="12"/>
      <c r="C25" s="13"/>
      <c r="D25" s="13"/>
      <c r="E25" s="13"/>
      <c r="F25" s="13"/>
      <c r="G25" s="5" t="s">
        <v>19</v>
      </c>
      <c r="H25" s="14">
        <v>3946</v>
      </c>
      <c r="I25" s="14">
        <v>368</v>
      </c>
      <c r="J25" s="14">
        <v>1355</v>
      </c>
      <c r="K25" s="15">
        <v>2793</v>
      </c>
      <c r="L25" s="8">
        <v>6.8</v>
      </c>
      <c r="M25" s="8">
        <v>-4.2</v>
      </c>
      <c r="N25" s="16">
        <f>(J25/1000)/$B$23</f>
        <v>8.8446475195822452E-2</v>
      </c>
      <c r="O25" s="16">
        <f t="shared" si="5"/>
        <v>32.548302872062663</v>
      </c>
      <c r="P25" s="16">
        <f t="shared" si="0"/>
        <v>247.03100522193211</v>
      </c>
      <c r="Q25" s="16">
        <f t="shared" si="13"/>
        <v>48.557114882506525</v>
      </c>
    </row>
    <row r="26" spans="1:17" ht="15.5" customHeight="1" thickTop="1" thickBot="1" x14ac:dyDescent="0.4">
      <c r="A26" s="17"/>
      <c r="B26" s="12"/>
      <c r="C26" s="13"/>
      <c r="D26" s="13"/>
      <c r="E26" s="13"/>
      <c r="F26" s="13"/>
      <c r="G26" s="5" t="s">
        <v>20</v>
      </c>
      <c r="H26" s="14">
        <f>(B23*1000)- SUM(H23:H25)</f>
        <v>3838</v>
      </c>
      <c r="I26" s="14">
        <f>(C23)- SUM(I23:I25)</f>
        <v>335</v>
      </c>
      <c r="J26" s="14">
        <f>(D23)- SUM(J23:J25)</f>
        <v>1302</v>
      </c>
      <c r="K26" s="15">
        <f>(F23)- SUM(K23:K25)</f>
        <v>815</v>
      </c>
      <c r="L26" s="8">
        <v>7</v>
      </c>
      <c r="M26" s="8">
        <v>-3.8</v>
      </c>
      <c r="N26" s="16">
        <f>(J26/1000)/$B$23</f>
        <v>8.4986945169712794E-2</v>
      </c>
      <c r="O26" s="16">
        <f t="shared" si="5"/>
        <v>28.470626631853786</v>
      </c>
      <c r="P26" s="16">
        <f t="shared" si="0"/>
        <v>69.264360313315933</v>
      </c>
      <c r="Q26" s="16">
        <f t="shared" si="13"/>
        <v>46.657832898172323</v>
      </c>
    </row>
    <row r="27" spans="1:17" ht="15.5" customHeight="1" thickTop="1" thickBot="1" x14ac:dyDescent="0.4">
      <c r="A27" s="17" t="s">
        <v>26</v>
      </c>
      <c r="B27" s="12">
        <v>13.12</v>
      </c>
      <c r="C27" s="13">
        <v>1505</v>
      </c>
      <c r="D27" s="13">
        <v>2736</v>
      </c>
      <c r="E27" s="13">
        <v>633</v>
      </c>
      <c r="F27" s="13">
        <v>8839</v>
      </c>
      <c r="G27" s="5" t="s">
        <v>17</v>
      </c>
      <c r="H27" s="14">
        <v>4053</v>
      </c>
      <c r="I27" s="14">
        <v>346</v>
      </c>
      <c r="J27" s="14">
        <v>679</v>
      </c>
      <c r="K27" s="15">
        <v>2843</v>
      </c>
      <c r="L27" s="8">
        <v>7.2</v>
      </c>
      <c r="M27" s="8">
        <v>-4.5</v>
      </c>
      <c r="N27" s="16">
        <f>(J27/1000)/$B$27</f>
        <v>5.1753048780487809E-2</v>
      </c>
      <c r="O27" s="16">
        <f t="shared" si="5"/>
        <v>17.90655487804878</v>
      </c>
      <c r="P27" s="16">
        <f t="shared" si="0"/>
        <v>147.13391768292684</v>
      </c>
      <c r="Q27" s="16">
        <f>N27*$E$27</f>
        <v>32.759679878048786</v>
      </c>
    </row>
    <row r="28" spans="1:17" ht="15.5" customHeight="1" thickTop="1" thickBot="1" x14ac:dyDescent="0.4">
      <c r="A28" s="17"/>
      <c r="B28" s="12"/>
      <c r="C28" s="13"/>
      <c r="D28" s="13"/>
      <c r="E28" s="13"/>
      <c r="F28" s="13"/>
      <c r="G28" s="5" t="s">
        <v>18</v>
      </c>
      <c r="H28" s="14">
        <v>4041</v>
      </c>
      <c r="I28" s="14">
        <v>417</v>
      </c>
      <c r="J28" s="14">
        <v>707</v>
      </c>
      <c r="K28" s="15">
        <v>2708</v>
      </c>
      <c r="L28" s="8">
        <v>6.8</v>
      </c>
      <c r="M28" s="8">
        <v>-5.0999999999999996</v>
      </c>
      <c r="N28" s="16">
        <f>(J28/1000)/$B$27</f>
        <v>5.3887195121951219E-2</v>
      </c>
      <c r="O28" s="16">
        <f t="shared" si="5"/>
        <v>22.470960365853657</v>
      </c>
      <c r="P28" s="16">
        <f t="shared" si="0"/>
        <v>145.92652439024391</v>
      </c>
      <c r="Q28" s="16">
        <f t="shared" ref="Q28:Q34" si="14">N28*$E$27</f>
        <v>34.110594512195121</v>
      </c>
    </row>
    <row r="29" spans="1:17" ht="15.5" customHeight="1" thickTop="1" thickBot="1" x14ac:dyDescent="0.4">
      <c r="A29" s="17"/>
      <c r="B29" s="12"/>
      <c r="C29" s="13"/>
      <c r="D29" s="13"/>
      <c r="E29" s="13"/>
      <c r="F29" s="13"/>
      <c r="G29" s="5" t="s">
        <v>19</v>
      </c>
      <c r="H29" s="14">
        <v>3939</v>
      </c>
      <c r="I29" s="14">
        <v>414</v>
      </c>
      <c r="J29" s="14">
        <v>684</v>
      </c>
      <c r="K29" s="15">
        <v>2596</v>
      </c>
      <c r="L29" s="8">
        <v>6.5</v>
      </c>
      <c r="M29" s="8">
        <v>-5.8</v>
      </c>
      <c r="N29" s="16">
        <f>(J29/1000)/$B$27</f>
        <v>5.2134146341463419E-2</v>
      </c>
      <c r="O29" s="16">
        <f t="shared" si="5"/>
        <v>21.583536585365856</v>
      </c>
      <c r="P29" s="16">
        <f t="shared" si="0"/>
        <v>135.34024390243903</v>
      </c>
      <c r="Q29" s="16">
        <f t="shared" si="14"/>
        <v>33.000914634146348</v>
      </c>
    </row>
    <row r="30" spans="1:17" ht="15.5" customHeight="1" thickTop="1" thickBot="1" x14ac:dyDescent="0.4">
      <c r="A30" s="17"/>
      <c r="B30" s="12"/>
      <c r="C30" s="13"/>
      <c r="D30" s="13"/>
      <c r="E30" s="13"/>
      <c r="F30" s="13"/>
      <c r="G30" s="5" t="s">
        <v>20</v>
      </c>
      <c r="H30" s="14">
        <f>(B27*1000)- SUM(H27:H29)</f>
        <v>1087</v>
      </c>
      <c r="I30" s="14">
        <f>C27-(SUM(I27:I29))</f>
        <v>328</v>
      </c>
      <c r="J30" s="14">
        <f>D27-SUM(J27:J29)</f>
        <v>666</v>
      </c>
      <c r="K30" s="15">
        <f>(F27)- SUM(K27:K29)</f>
        <v>692</v>
      </c>
      <c r="L30" s="8">
        <v>6.9</v>
      </c>
      <c r="M30" s="8">
        <v>-6</v>
      </c>
      <c r="N30" s="16">
        <f>(J30/1000)/$B$27</f>
        <v>5.0762195121951223E-2</v>
      </c>
      <c r="O30" s="16">
        <f t="shared" si="5"/>
        <v>16.650000000000002</v>
      </c>
      <c r="P30" s="16">
        <f t="shared" si="0"/>
        <v>35.127439024390249</v>
      </c>
      <c r="Q30" s="16">
        <f t="shared" si="14"/>
        <v>32.132469512195122</v>
      </c>
    </row>
    <row r="31" spans="1:17" ht="15.5" hidden="1" customHeight="1" x14ac:dyDescent="0.35">
      <c r="A31" s="17" t="s">
        <v>27</v>
      </c>
      <c r="B31" s="12">
        <v>12.75</v>
      </c>
      <c r="C31" s="13">
        <v>1873</v>
      </c>
      <c r="D31" s="13">
        <v>2700</v>
      </c>
      <c r="E31" s="13">
        <v>628</v>
      </c>
      <c r="F31" s="13">
        <v>8204</v>
      </c>
      <c r="G31" s="5" t="s">
        <v>17</v>
      </c>
      <c r="H31" s="14">
        <v>3200</v>
      </c>
      <c r="I31" s="14">
        <v>393</v>
      </c>
      <c r="J31" s="14">
        <v>687</v>
      </c>
      <c r="K31" s="18">
        <v>2169</v>
      </c>
      <c r="N31" s="16">
        <f>(J31/1000)/$B$31</f>
        <v>5.3882352941176472E-2</v>
      </c>
      <c r="O31" s="16">
        <f t="shared" si="5"/>
        <v>21.175764705882354</v>
      </c>
      <c r="P31" s="16">
        <f t="shared" si="0"/>
        <v>116.87082352941177</v>
      </c>
      <c r="Q31" s="16">
        <f t="shared" si="14"/>
        <v>34.107529411764709</v>
      </c>
    </row>
    <row r="32" spans="1:17" ht="15.5" hidden="1" customHeight="1" x14ac:dyDescent="0.35">
      <c r="A32" s="17"/>
      <c r="B32" s="12"/>
      <c r="C32" s="13"/>
      <c r="D32" s="13"/>
      <c r="E32" s="13"/>
      <c r="F32" s="13"/>
      <c r="G32" s="5" t="s">
        <v>18</v>
      </c>
      <c r="H32" s="14">
        <v>3192</v>
      </c>
      <c r="I32" s="14">
        <v>493</v>
      </c>
      <c r="J32" s="14">
        <v>689</v>
      </c>
      <c r="K32" s="18">
        <v>2031</v>
      </c>
      <c r="N32" s="16">
        <f t="shared" ref="N32:N34" si="15">(J32/1000)/$B$31</f>
        <v>5.4039215686274504E-2</v>
      </c>
      <c r="O32" s="16">
        <f t="shared" si="5"/>
        <v>26.641333333333332</v>
      </c>
      <c r="P32" s="16">
        <f t="shared" si="0"/>
        <v>109.75364705882352</v>
      </c>
      <c r="Q32" s="16">
        <f t="shared" si="14"/>
        <v>34.206823529411764</v>
      </c>
    </row>
    <row r="33" spans="1:17" ht="15.5" hidden="1" customHeight="1" x14ac:dyDescent="0.35">
      <c r="A33" s="17"/>
      <c r="B33" s="12"/>
      <c r="C33" s="13"/>
      <c r="D33" s="13"/>
      <c r="E33" s="13"/>
      <c r="F33" s="13"/>
      <c r="G33" s="5" t="s">
        <v>19</v>
      </c>
      <c r="H33" s="14">
        <v>3233</v>
      </c>
      <c r="I33" s="14">
        <v>456</v>
      </c>
      <c r="J33" s="14">
        <v>690</v>
      </c>
      <c r="K33" s="18">
        <v>2057</v>
      </c>
      <c r="N33" s="16">
        <f t="shared" si="15"/>
        <v>5.4117647058823527E-2</v>
      </c>
      <c r="O33" s="16">
        <f t="shared" si="5"/>
        <v>24.677647058823528</v>
      </c>
      <c r="P33" s="16">
        <f t="shared" si="0"/>
        <v>111.32</v>
      </c>
      <c r="Q33" s="16">
        <f t="shared" si="14"/>
        <v>34.256470588235295</v>
      </c>
    </row>
    <row r="34" spans="1:17" ht="15.5" hidden="1" customHeight="1" x14ac:dyDescent="0.35">
      <c r="A34" s="17"/>
      <c r="B34" s="12"/>
      <c r="C34" s="13"/>
      <c r="D34" s="13"/>
      <c r="E34" s="13"/>
      <c r="F34" s="13"/>
      <c r="G34" s="5" t="s">
        <v>20</v>
      </c>
      <c r="H34" s="14">
        <f>(B31*1000)-(SUM(H31:H33))</f>
        <v>3125</v>
      </c>
      <c r="I34" s="14">
        <f>C31-SUM(I31:I33)</f>
        <v>531</v>
      </c>
      <c r="J34" s="14">
        <f>D31-687-689-690</f>
        <v>634</v>
      </c>
      <c r="K34" s="15">
        <f>(F31)- SUM(K31:K33)</f>
        <v>1947</v>
      </c>
      <c r="N34" s="16">
        <f t="shared" si="15"/>
        <v>4.9725490196078435E-2</v>
      </c>
      <c r="O34" s="16">
        <f t="shared" si="5"/>
        <v>26.404235294117647</v>
      </c>
      <c r="P34" s="16">
        <f t="shared" si="0"/>
        <v>96.815529411764714</v>
      </c>
      <c r="Q34" s="16">
        <f t="shared" si="14"/>
        <v>31.47623529411765</v>
      </c>
    </row>
    <row r="35" spans="1:17" thickTop="1" thickBot="1" x14ac:dyDescent="0.4">
      <c r="A35" s="19">
        <v>2024</v>
      </c>
      <c r="B35" s="13">
        <v>15.46</v>
      </c>
      <c r="C35" s="13">
        <v>1982</v>
      </c>
      <c r="D35" s="13">
        <v>5408</v>
      </c>
      <c r="E35" s="13">
        <v>838</v>
      </c>
      <c r="F35" s="13">
        <f>F31+F43</f>
        <v>10119</v>
      </c>
      <c r="G35" s="5" t="s">
        <v>17</v>
      </c>
      <c r="H35" s="20">
        <f>H31+H43</f>
        <v>3898</v>
      </c>
      <c r="I35" s="20">
        <f t="shared" ref="I35:J38" si="16">I43+I31</f>
        <v>421</v>
      </c>
      <c r="J35" s="20">
        <f t="shared" si="16"/>
        <v>1372</v>
      </c>
      <c r="K35" s="20">
        <f>K31+K43</f>
        <v>2673</v>
      </c>
      <c r="L35" s="8">
        <v>4.2</v>
      </c>
      <c r="M35" s="8">
        <v>-3.2</v>
      </c>
      <c r="N35" s="16">
        <v>1</v>
      </c>
      <c r="O35" s="20">
        <f t="shared" ref="O35:Q38" si="17">O31+O43</f>
        <v>49.175764705882358</v>
      </c>
      <c r="P35" s="16">
        <f t="shared" si="17"/>
        <v>620.87082352941172</v>
      </c>
      <c r="Q35" s="16">
        <f t="shared" si="17"/>
        <v>84.107529411764716</v>
      </c>
    </row>
    <row r="36" spans="1:17" thickTop="1" thickBot="1" x14ac:dyDescent="0.4">
      <c r="A36" s="19"/>
      <c r="B36" s="13"/>
      <c r="C36" s="13"/>
      <c r="D36" s="13"/>
      <c r="E36" s="13"/>
      <c r="F36" s="13"/>
      <c r="G36" s="5" t="s">
        <v>18</v>
      </c>
      <c r="H36" s="20">
        <f>H32+H44</f>
        <v>3864</v>
      </c>
      <c r="I36" s="20">
        <f t="shared" si="16"/>
        <v>540</v>
      </c>
      <c r="J36" s="20">
        <f t="shared" si="16"/>
        <v>1392</v>
      </c>
      <c r="K36" s="20">
        <f>K32+K44</f>
        <v>2507</v>
      </c>
      <c r="L36" s="8">
        <v>3.9</v>
      </c>
      <c r="M36" s="8">
        <v>-2.8</v>
      </c>
      <c r="N36" s="16">
        <v>1</v>
      </c>
      <c r="O36" s="20">
        <f t="shared" si="17"/>
        <v>73.641333333333336</v>
      </c>
      <c r="P36" s="16">
        <f t="shared" si="17"/>
        <v>585.7536470588235</v>
      </c>
      <c r="Q36" s="16">
        <f t="shared" si="17"/>
        <v>82.206823529411764</v>
      </c>
    </row>
    <row r="37" spans="1:17" thickTop="1" thickBot="1" x14ac:dyDescent="0.4">
      <c r="A37" s="19"/>
      <c r="B37" s="13"/>
      <c r="C37" s="13"/>
      <c r="D37" s="13"/>
      <c r="E37" s="13"/>
      <c r="F37" s="13"/>
      <c r="G37" s="5" t="s">
        <v>19</v>
      </c>
      <c r="H37" s="20">
        <f>H33+H45</f>
        <v>3931</v>
      </c>
      <c r="I37" s="20">
        <f t="shared" si="16"/>
        <v>468</v>
      </c>
      <c r="J37" s="20">
        <f t="shared" si="16"/>
        <v>1370</v>
      </c>
      <c r="K37" s="20">
        <f>K33+K45</f>
        <v>2552</v>
      </c>
      <c r="L37" s="8">
        <v>3.8</v>
      </c>
      <c r="M37" s="8">
        <v>-2.5</v>
      </c>
      <c r="N37" s="16">
        <v>1</v>
      </c>
      <c r="O37" s="20">
        <f t="shared" si="17"/>
        <v>36.677647058823524</v>
      </c>
      <c r="P37" s="16">
        <f t="shared" si="17"/>
        <v>606.31999999999994</v>
      </c>
      <c r="Q37" s="16">
        <f t="shared" si="17"/>
        <v>82.256470588235288</v>
      </c>
    </row>
    <row r="38" spans="1:17" thickTop="1" thickBot="1" x14ac:dyDescent="0.4">
      <c r="A38" s="19"/>
      <c r="B38" s="13"/>
      <c r="C38" s="13"/>
      <c r="D38" s="13"/>
      <c r="E38" s="13"/>
      <c r="F38" s="13"/>
      <c r="G38" s="5" t="s">
        <v>20</v>
      </c>
      <c r="H38" s="20">
        <f>H34+H46</f>
        <v>3765</v>
      </c>
      <c r="I38" s="20">
        <f t="shared" si="16"/>
        <v>553</v>
      </c>
      <c r="J38" s="20">
        <f t="shared" si="16"/>
        <v>1274</v>
      </c>
      <c r="K38" s="20">
        <f>K34+K46</f>
        <v>2387</v>
      </c>
      <c r="L38" s="8">
        <v>3.8</v>
      </c>
      <c r="M38" s="8">
        <v>-5.6</v>
      </c>
      <c r="N38" s="16">
        <v>1</v>
      </c>
      <c r="O38" s="20">
        <f t="shared" si="17"/>
        <v>48.404235294117647</v>
      </c>
      <c r="P38" s="16">
        <f t="shared" si="17"/>
        <v>536.81552941176471</v>
      </c>
      <c r="Q38" s="16">
        <f t="shared" si="17"/>
        <v>95.476235294117657</v>
      </c>
    </row>
    <row r="39" spans="1:17" ht="15.5" customHeight="1" thickTop="1" thickBot="1" x14ac:dyDescent="0.4">
      <c r="A39" s="19">
        <v>2025</v>
      </c>
      <c r="B39" s="12"/>
      <c r="C39" s="13"/>
      <c r="D39" s="13"/>
      <c r="E39" s="13"/>
      <c r="F39" s="13"/>
      <c r="G39" s="5" t="s">
        <v>17</v>
      </c>
      <c r="H39" s="14"/>
      <c r="I39" s="14"/>
      <c r="J39" s="20"/>
      <c r="K39" s="20"/>
      <c r="N39" s="20"/>
      <c r="O39" s="20"/>
      <c r="P39" s="20"/>
      <c r="Q39" s="20"/>
    </row>
    <row r="40" spans="1:17" ht="15.5" customHeight="1" thickTop="1" thickBot="1" x14ac:dyDescent="0.4">
      <c r="A40" s="19"/>
      <c r="B40" s="12"/>
      <c r="C40" s="13"/>
      <c r="D40" s="13"/>
      <c r="E40" s="13"/>
      <c r="F40" s="13"/>
      <c r="G40" s="5" t="s">
        <v>18</v>
      </c>
      <c r="H40" s="14"/>
      <c r="I40" s="14"/>
      <c r="J40" s="20"/>
      <c r="K40" s="20"/>
      <c r="N40" s="20"/>
      <c r="O40" s="20"/>
      <c r="P40" s="20"/>
      <c r="Q40" s="20"/>
    </row>
    <row r="41" spans="1:17" ht="15.5" customHeight="1" thickTop="1" thickBot="1" x14ac:dyDescent="0.4">
      <c r="A41" s="19"/>
      <c r="B41" s="12"/>
      <c r="C41" s="13"/>
      <c r="D41" s="13"/>
      <c r="E41" s="13"/>
      <c r="F41" s="13"/>
      <c r="G41" s="5" t="s">
        <v>19</v>
      </c>
      <c r="H41" s="14"/>
      <c r="I41" s="14"/>
      <c r="J41" s="20"/>
      <c r="K41" s="20"/>
      <c r="N41" s="20"/>
      <c r="O41" s="20"/>
      <c r="P41" s="20"/>
      <c r="Q41" s="20"/>
    </row>
    <row r="42" spans="1:17" ht="15.5" customHeight="1" thickTop="1" thickBot="1" x14ac:dyDescent="0.4">
      <c r="A42" s="19"/>
      <c r="B42" s="12"/>
      <c r="C42" s="13"/>
      <c r="D42" s="13"/>
      <c r="E42" s="13"/>
      <c r="F42" s="13"/>
      <c r="G42" s="5" t="s">
        <v>20</v>
      </c>
      <c r="H42" s="14"/>
      <c r="I42" s="14"/>
      <c r="J42" s="20"/>
      <c r="K42" s="20"/>
      <c r="N42" s="20"/>
      <c r="O42" s="20"/>
      <c r="P42" s="20"/>
      <c r="Q42" s="20"/>
    </row>
    <row r="43" spans="1:17" hidden="1" thickTop="1" thickBot="1" x14ac:dyDescent="0.4">
      <c r="A43" s="17" t="s">
        <v>28</v>
      </c>
      <c r="B43" s="13">
        <v>2.7080000000000002</v>
      </c>
      <c r="C43" s="13" t="s">
        <v>29</v>
      </c>
      <c r="D43" s="13">
        <v>2708</v>
      </c>
      <c r="E43" s="13">
        <v>210</v>
      </c>
      <c r="F43" s="13">
        <v>1915</v>
      </c>
      <c r="G43" s="5" t="s">
        <v>17</v>
      </c>
      <c r="H43" s="20">
        <v>698</v>
      </c>
      <c r="I43" s="20">
        <v>28</v>
      </c>
      <c r="J43" s="20">
        <v>685</v>
      </c>
      <c r="K43" s="20">
        <v>504</v>
      </c>
      <c r="N43" s="16"/>
      <c r="O43" s="20">
        <v>28</v>
      </c>
      <c r="P43" s="20">
        <v>504</v>
      </c>
      <c r="Q43" s="20">
        <v>50</v>
      </c>
    </row>
    <row r="44" spans="1:17" hidden="1" thickTop="1" thickBot="1" x14ac:dyDescent="0.4">
      <c r="A44" s="17"/>
      <c r="B44" s="13"/>
      <c r="C44" s="13"/>
      <c r="D44" s="13"/>
      <c r="E44" s="13"/>
      <c r="F44" s="13"/>
      <c r="G44" s="5" t="s">
        <v>18</v>
      </c>
      <c r="H44" s="20">
        <v>672</v>
      </c>
      <c r="I44" s="20">
        <v>47</v>
      </c>
      <c r="J44" s="20">
        <v>703</v>
      </c>
      <c r="K44" s="20">
        <v>476</v>
      </c>
      <c r="N44" s="16"/>
      <c r="O44" s="20">
        <v>47</v>
      </c>
      <c r="P44" s="20">
        <v>476</v>
      </c>
      <c r="Q44" s="20">
        <v>48</v>
      </c>
    </row>
    <row r="45" spans="1:17" hidden="1" thickTop="1" thickBot="1" x14ac:dyDescent="0.4">
      <c r="A45" s="17"/>
      <c r="B45" s="13"/>
      <c r="C45" s="13"/>
      <c r="D45" s="13"/>
      <c r="E45" s="13"/>
      <c r="F45" s="13"/>
      <c r="G45" s="5" t="s">
        <v>19</v>
      </c>
      <c r="H45" s="20">
        <v>698</v>
      </c>
      <c r="I45" s="20">
        <v>12</v>
      </c>
      <c r="J45" s="20">
        <v>680</v>
      </c>
      <c r="K45" s="20">
        <v>495</v>
      </c>
      <c r="N45" s="16"/>
      <c r="O45" s="20">
        <v>12</v>
      </c>
      <c r="P45" s="20">
        <v>495</v>
      </c>
      <c r="Q45" s="20">
        <v>48</v>
      </c>
    </row>
    <row r="46" spans="1:17" hidden="1" thickTop="1" thickBot="1" x14ac:dyDescent="0.4">
      <c r="A46" s="17"/>
      <c r="B46" s="13"/>
      <c r="C46" s="13"/>
      <c r="D46" s="13"/>
      <c r="E46" s="13"/>
      <c r="F46" s="13"/>
      <c r="G46" s="5" t="s">
        <v>20</v>
      </c>
      <c r="H46" s="20">
        <v>640</v>
      </c>
      <c r="I46" s="20">
        <v>22</v>
      </c>
      <c r="J46" s="20">
        <v>640</v>
      </c>
      <c r="K46" s="20">
        <f>F43-K45-K44-K43</f>
        <v>440</v>
      </c>
      <c r="N46" s="16"/>
      <c r="O46" s="20">
        <v>22</v>
      </c>
      <c r="P46" s="20">
        <v>440</v>
      </c>
      <c r="Q46" s="20">
        <v>64</v>
      </c>
    </row>
    <row r="48" spans="1:17" thickTop="1" thickBot="1" x14ac:dyDescent="0.4">
      <c r="F48"/>
      <c r="G48"/>
      <c r="N48"/>
    </row>
    <row r="49" spans="6:14" thickTop="1" thickBot="1" x14ac:dyDescent="0.4">
      <c r="F49"/>
      <c r="G49"/>
      <c r="N49"/>
    </row>
    <row r="50" spans="6:14" thickTop="1" thickBot="1" x14ac:dyDescent="0.4">
      <c r="F50"/>
      <c r="G50"/>
      <c r="N50"/>
    </row>
    <row r="51" spans="6:14" thickTop="1" thickBot="1" x14ac:dyDescent="0.4">
      <c r="F51"/>
      <c r="G51"/>
      <c r="N51"/>
    </row>
    <row r="52" spans="6:14" thickTop="1" thickBot="1" x14ac:dyDescent="0.4">
      <c r="F52"/>
      <c r="G52"/>
      <c r="N52"/>
    </row>
    <row r="53" spans="6:14" thickTop="1" thickBot="1" x14ac:dyDescent="0.4">
      <c r="F53"/>
      <c r="G53"/>
      <c r="N53"/>
    </row>
    <row r="54" spans="6:14" thickTop="1" thickBot="1" x14ac:dyDescent="0.4">
      <c r="F54"/>
      <c r="G54"/>
      <c r="N54"/>
    </row>
    <row r="55" spans="6:14" thickTop="1" thickBot="1" x14ac:dyDescent="0.4">
      <c r="F55"/>
      <c r="G55"/>
      <c r="N55"/>
    </row>
    <row r="56" spans="6:14" thickTop="1" thickBot="1" x14ac:dyDescent="0.4">
      <c r="F56"/>
      <c r="G56"/>
      <c r="N56"/>
    </row>
    <row r="57" spans="6:14" thickTop="1" thickBot="1" x14ac:dyDescent="0.4">
      <c r="F57"/>
      <c r="G57"/>
      <c r="N57"/>
    </row>
    <row r="58" spans="6:14" thickTop="1" thickBot="1" x14ac:dyDescent="0.4">
      <c r="F58"/>
      <c r="G58"/>
      <c r="N58"/>
    </row>
    <row r="59" spans="6:14" thickTop="1" thickBot="1" x14ac:dyDescent="0.4">
      <c r="F59"/>
      <c r="G59"/>
      <c r="N59"/>
    </row>
    <row r="60" spans="6:14" thickTop="1" thickBot="1" x14ac:dyDescent="0.4">
      <c r="F60"/>
      <c r="G60"/>
      <c r="N60"/>
    </row>
    <row r="61" spans="6:14" thickTop="1" thickBot="1" x14ac:dyDescent="0.4">
      <c r="F61"/>
      <c r="G61"/>
      <c r="N61"/>
    </row>
    <row r="62" spans="6:14" thickTop="1" thickBot="1" x14ac:dyDescent="0.4">
      <c r="F62"/>
      <c r="G62"/>
      <c r="N62"/>
    </row>
    <row r="63" spans="6:14" thickTop="1" thickBot="1" x14ac:dyDescent="0.4">
      <c r="F63"/>
      <c r="G63"/>
      <c r="N63"/>
    </row>
    <row r="64" spans="6:14" thickTop="1" thickBot="1" x14ac:dyDescent="0.4">
      <c r="F64"/>
      <c r="G64"/>
      <c r="N64"/>
    </row>
    <row r="65" spans="6:14" thickTop="1" thickBot="1" x14ac:dyDescent="0.4">
      <c r="F65"/>
      <c r="G65"/>
      <c r="N65"/>
    </row>
    <row r="66" spans="6:14" thickTop="1" thickBot="1" x14ac:dyDescent="0.4">
      <c r="F66"/>
      <c r="G66"/>
      <c r="N66"/>
    </row>
    <row r="67" spans="6:14" thickTop="1" thickBot="1" x14ac:dyDescent="0.4">
      <c r="F67"/>
      <c r="G67"/>
      <c r="N67"/>
    </row>
    <row r="68" spans="6:14" thickTop="1" thickBot="1" x14ac:dyDescent="0.4">
      <c r="F68"/>
      <c r="G68"/>
      <c r="N68"/>
    </row>
    <row r="69" spans="6:14" thickTop="1" thickBot="1" x14ac:dyDescent="0.4">
      <c r="F69"/>
      <c r="G69"/>
      <c r="N69"/>
    </row>
  </sheetData>
  <mergeCells count="66">
    <mergeCell ref="A43:A46"/>
    <mergeCell ref="B43:B46"/>
    <mergeCell ref="C43:C46"/>
    <mergeCell ref="D43:D46"/>
    <mergeCell ref="E43:E46"/>
    <mergeCell ref="F43:F46"/>
    <mergeCell ref="A39:A42"/>
    <mergeCell ref="B39:B42"/>
    <mergeCell ref="C39:C42"/>
    <mergeCell ref="D39:D42"/>
    <mergeCell ref="E39:E42"/>
    <mergeCell ref="F39:F42"/>
    <mergeCell ref="A35:A38"/>
    <mergeCell ref="B35:B38"/>
    <mergeCell ref="C35:C38"/>
    <mergeCell ref="D35:D38"/>
    <mergeCell ref="E35:E38"/>
    <mergeCell ref="F35:F38"/>
    <mergeCell ref="A31:A34"/>
    <mergeCell ref="B31:B34"/>
    <mergeCell ref="C31:C34"/>
    <mergeCell ref="D31:D34"/>
    <mergeCell ref="E31:E34"/>
    <mergeCell ref="F31:F34"/>
    <mergeCell ref="A27:A30"/>
    <mergeCell ref="B27:B30"/>
    <mergeCell ref="C27:C30"/>
    <mergeCell ref="D27:D30"/>
    <mergeCell ref="E27:E30"/>
    <mergeCell ref="F27:F30"/>
    <mergeCell ref="A23:A26"/>
    <mergeCell ref="B23:B26"/>
    <mergeCell ref="C23:C26"/>
    <mergeCell ref="D23:D26"/>
    <mergeCell ref="E23:E26"/>
    <mergeCell ref="F23:F26"/>
    <mergeCell ref="A19:A22"/>
    <mergeCell ref="B19:B22"/>
    <mergeCell ref="C19:C22"/>
    <mergeCell ref="D19:D22"/>
    <mergeCell ref="E19:E22"/>
    <mergeCell ref="F19:F22"/>
    <mergeCell ref="A15:A18"/>
    <mergeCell ref="B15:B18"/>
    <mergeCell ref="C15:C18"/>
    <mergeCell ref="D15:D18"/>
    <mergeCell ref="E15:E18"/>
    <mergeCell ref="F15:F18"/>
    <mergeCell ref="A11:A14"/>
    <mergeCell ref="B11:B14"/>
    <mergeCell ref="C11:C14"/>
    <mergeCell ref="D11:D14"/>
    <mergeCell ref="E11:E14"/>
    <mergeCell ref="F11:F14"/>
    <mergeCell ref="A7:A10"/>
    <mergeCell ref="B7:B10"/>
    <mergeCell ref="C7:C10"/>
    <mergeCell ref="D7:D10"/>
    <mergeCell ref="E7:E10"/>
    <mergeCell ref="F7:F10"/>
    <mergeCell ref="A3:A6"/>
    <mergeCell ref="B3:B6"/>
    <mergeCell ref="C3:C6"/>
    <mergeCell ref="D3:D6"/>
    <mergeCell ref="E3:E6"/>
    <mergeCell ref="F3:F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Chandrika Gour</dc:creator>
  <cp:lastModifiedBy>Chandrika Gour</cp:lastModifiedBy>
  <dcterms:created xsi:type="dcterms:W3CDTF">2026-03-02T13:44:41Z</dcterms:created>
  <dcterms:modified xsi:type="dcterms:W3CDTF">2026-03-02T13:45:40Z</dcterms:modified>
</cp:coreProperties>
</file>