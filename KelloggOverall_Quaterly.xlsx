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6af1b2467365e/Desktop/Module_Study/MarketingAnalytics/CourseWork1/Kellogg/"/>
    </mc:Choice>
  </mc:AlternateContent>
  <xr:revisionPtr revIDLastSave="2100" documentId="8_{1C26091B-B661-4484-9023-DE650AA97FF3}" xr6:coauthVersionLast="47" xr6:coauthVersionMax="47" xr10:uidLastSave="{05633600-A8FD-4C65-8350-DB3AA1CBB770}"/>
  <bookViews>
    <workbookView xWindow="-110" yWindow="-110" windowWidth="19420" windowHeight="10300" tabRatio="715" xr2:uid="{02B9D7BA-2B49-4578-ACFA-FFCD90ECFE70}"/>
  </bookViews>
  <sheets>
    <sheet name="Dataaccumulated" sheetId="10" r:id="rId1"/>
    <sheet name="Sparklines" sheetId="28" r:id="rId2"/>
    <sheet name="Descriptive" sheetId="21" r:id="rId3"/>
    <sheet name="Cost_Smry_Pivot" sheetId="26" r:id="rId4"/>
    <sheet name="KelloggSPSS_Data_Seasonality" sheetId="22" r:id="rId5"/>
    <sheet name="Forecasting_Deseasonalised" sheetId="23" r:id="rId6"/>
    <sheet name="KelloggCustomers_ProductType_20" sheetId="1" r:id="rId7"/>
    <sheet name="CerealProduction_2023_2024" sheetId="7" r:id="rId8"/>
    <sheet name="Customers" sheetId="16" r:id="rId9"/>
    <sheet name="ProductsVariety" sheetId="17" r:id="rId10"/>
    <sheet name="Brands_Customers_2023" sheetId="6" r:id="rId11"/>
    <sheet name="Company_Cereal_Sales" sheetId="27" r:id="rId12"/>
  </sheets>
  <definedNames>
    <definedName name="_xlnm._FilterDatabase" localSheetId="10" hidden="1">Brands_Customers_2023!$A$1:$C$53</definedName>
  </definedNames>
  <calcPr calcId="191029"/>
  <pivotCaches>
    <pivotCache cacheId="34" r:id="rId13"/>
    <pivotCache cacheId="9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" i="22" l="1"/>
  <c r="V35" i="22"/>
  <c r="V36" i="22"/>
  <c r="V37" i="22"/>
  <c r="Q35" i="22"/>
  <c r="Q36" i="22"/>
  <c r="Q37" i="22"/>
  <c r="Q34" i="22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2" i="22"/>
  <c r="V3" i="22"/>
  <c r="V4" i="22"/>
  <c r="V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2" i="22"/>
  <c r="R31" i="27"/>
  <c r="R39" i="27"/>
  <c r="R40" i="27"/>
  <c r="R41" i="27"/>
  <c r="R42" i="27"/>
  <c r="R43" i="27"/>
  <c r="R44" i="27"/>
  <c r="R45" i="27"/>
  <c r="N31" i="27"/>
  <c r="O31" i="27"/>
  <c r="P31" i="27"/>
  <c r="Q31" i="27"/>
  <c r="N32" i="27"/>
  <c r="O32" i="27"/>
  <c r="P32" i="27"/>
  <c r="Q32" i="27"/>
  <c r="R32" i="27" s="1"/>
  <c r="N33" i="27"/>
  <c r="O33" i="27"/>
  <c r="R33" i="27" s="1"/>
  <c r="P33" i="27"/>
  <c r="Q33" i="27"/>
  <c r="H34" i="27"/>
  <c r="H38" i="27" s="1"/>
  <c r="I34" i="27"/>
  <c r="I38" i="27" s="1"/>
  <c r="J34" i="27"/>
  <c r="J38" i="27" s="1"/>
  <c r="K34" i="27"/>
  <c r="N34" i="27"/>
  <c r="O34" i="27"/>
  <c r="R34" i="27" s="1"/>
  <c r="P34" i="27"/>
  <c r="Q34" i="27"/>
  <c r="K46" i="27"/>
  <c r="R46" i="27" s="1"/>
  <c r="K37" i="27"/>
  <c r="J37" i="27"/>
  <c r="I37" i="27"/>
  <c r="H37" i="27"/>
  <c r="K36" i="27"/>
  <c r="J36" i="27"/>
  <c r="I36" i="27"/>
  <c r="H36" i="27"/>
  <c r="K35" i="27"/>
  <c r="J35" i="27"/>
  <c r="I35" i="27"/>
  <c r="H35" i="27"/>
  <c r="F35" i="27"/>
  <c r="Q37" i="27"/>
  <c r="O36" i="27"/>
  <c r="Q35" i="27"/>
  <c r="K30" i="27"/>
  <c r="J30" i="27"/>
  <c r="N30" i="27" s="1"/>
  <c r="I30" i="27"/>
  <c r="H30" i="27"/>
  <c r="N29" i="27"/>
  <c r="Q29" i="27" s="1"/>
  <c r="N28" i="27"/>
  <c r="Q28" i="27" s="1"/>
  <c r="N27" i="27"/>
  <c r="Q27" i="27" s="1"/>
  <c r="K26" i="27"/>
  <c r="J26" i="27"/>
  <c r="N26" i="27" s="1"/>
  <c r="I26" i="27"/>
  <c r="H26" i="27"/>
  <c r="N25" i="27"/>
  <c r="Q25" i="27" s="1"/>
  <c r="N24" i="27"/>
  <c r="Q24" i="27" s="1"/>
  <c r="N23" i="27"/>
  <c r="K22" i="27"/>
  <c r="J22" i="27"/>
  <c r="N22" i="27" s="1"/>
  <c r="Q22" i="27" s="1"/>
  <c r="I22" i="27"/>
  <c r="H22" i="27"/>
  <c r="N21" i="27"/>
  <c r="Q21" i="27" s="1"/>
  <c r="N20" i="27"/>
  <c r="Q20" i="27" s="1"/>
  <c r="N19" i="27"/>
  <c r="K18" i="27"/>
  <c r="J18" i="27"/>
  <c r="N18" i="27" s="1"/>
  <c r="Q18" i="27" s="1"/>
  <c r="I18" i="27"/>
  <c r="H18" i="27"/>
  <c r="N17" i="27"/>
  <c r="Q17" i="27" s="1"/>
  <c r="N16" i="27"/>
  <c r="Q16" i="27" s="1"/>
  <c r="N15" i="27"/>
  <c r="Q15" i="27" s="1"/>
  <c r="J14" i="27"/>
  <c r="N14" i="27" s="1"/>
  <c r="I14" i="27"/>
  <c r="N13" i="27"/>
  <c r="P13" i="27" s="1"/>
  <c r="N12" i="27"/>
  <c r="Q12" i="27" s="1"/>
  <c r="N11" i="27"/>
  <c r="Q11" i="27" s="1"/>
  <c r="J10" i="27"/>
  <c r="N10" i="27" s="1"/>
  <c r="I10" i="27"/>
  <c r="N9" i="27"/>
  <c r="Q9" i="27" s="1"/>
  <c r="N8" i="27"/>
  <c r="P8" i="27" s="1"/>
  <c r="N7" i="27"/>
  <c r="Q7" i="27" s="1"/>
  <c r="K6" i="27"/>
  <c r="J6" i="27"/>
  <c r="N6" i="27" s="1"/>
  <c r="I6" i="27"/>
  <c r="N5" i="27"/>
  <c r="N4" i="27"/>
  <c r="Q4" i="27" s="1"/>
  <c r="N3" i="27"/>
  <c r="Q3" i="27" s="1"/>
  <c r="C34" i="23"/>
  <c r="D34" i="23"/>
  <c r="E34" i="23"/>
  <c r="C35" i="23"/>
  <c r="D35" i="23"/>
  <c r="E35" i="23"/>
  <c r="C36" i="23"/>
  <c r="D36" i="23"/>
  <c r="E36" i="23"/>
  <c r="C37" i="23"/>
  <c r="D37" i="23"/>
  <c r="E37" i="23"/>
  <c r="C38" i="23"/>
  <c r="D38" i="23"/>
  <c r="E38" i="23"/>
  <c r="C39" i="23"/>
  <c r="D39" i="23"/>
  <c r="E39" i="23"/>
  <c r="C40" i="23"/>
  <c r="D40" i="23"/>
  <c r="E40" i="23"/>
  <c r="C41" i="23"/>
  <c r="D41" i="23"/>
  <c r="E41" i="23"/>
  <c r="C42" i="23"/>
  <c r="D42" i="23"/>
  <c r="E42" i="23"/>
  <c r="C43" i="23"/>
  <c r="D43" i="23"/>
  <c r="E43" i="23"/>
  <c r="C44" i="23"/>
  <c r="D44" i="23"/>
  <c r="E44" i="23"/>
  <c r="C45" i="23"/>
  <c r="D45" i="23"/>
  <c r="E45" i="23"/>
  <c r="C46" i="23"/>
  <c r="D46" i="23"/>
  <c r="E46" i="23"/>
  <c r="C47" i="23"/>
  <c r="D47" i="23"/>
  <c r="E47" i="23"/>
  <c r="C48" i="23"/>
  <c r="D48" i="23"/>
  <c r="E48" i="23"/>
  <c r="C49" i="23"/>
  <c r="D49" i="23"/>
  <c r="E49" i="23"/>
  <c r="K38" i="27" l="1"/>
  <c r="Q13" i="27"/>
  <c r="Q8" i="27"/>
  <c r="O35" i="27"/>
  <c r="R35" i="27" s="1"/>
  <c r="P35" i="27"/>
  <c r="Q14" i="27"/>
  <c r="P14" i="27"/>
  <c r="O14" i="27"/>
  <c r="R14" i="27" s="1"/>
  <c r="Q6" i="27"/>
  <c r="P6" i="27"/>
  <c r="O6" i="27"/>
  <c r="R6" i="27" s="1"/>
  <c r="P26" i="27"/>
  <c r="O26" i="27"/>
  <c r="Q26" i="27"/>
  <c r="O9" i="27"/>
  <c r="R9" i="27" s="1"/>
  <c r="O18" i="27"/>
  <c r="R18" i="27" s="1"/>
  <c r="P9" i="27"/>
  <c r="P18" i="27"/>
  <c r="O27" i="27"/>
  <c r="R27" i="27" s="1"/>
  <c r="P27" i="27"/>
  <c r="Q19" i="27"/>
  <c r="P19" i="27"/>
  <c r="O19" i="27"/>
  <c r="Q10" i="27"/>
  <c r="P10" i="27"/>
  <c r="O10" i="27"/>
  <c r="R10" i="27" s="1"/>
  <c r="Q30" i="27"/>
  <c r="P30" i="27"/>
  <c r="O30" i="27"/>
  <c r="R30" i="27" s="1"/>
  <c r="O4" i="27"/>
  <c r="R4" i="27" s="1"/>
  <c r="O22" i="27"/>
  <c r="R22" i="27" s="1"/>
  <c r="P4" i="27"/>
  <c r="P22" i="27"/>
  <c r="Q5" i="27"/>
  <c r="P5" i="27"/>
  <c r="Q23" i="27"/>
  <c r="P23" i="27"/>
  <c r="O5" i="27"/>
  <c r="R5" i="27" s="1"/>
  <c r="O23" i="27"/>
  <c r="R23" i="27" s="1"/>
  <c r="Q36" i="27"/>
  <c r="R36" i="27" s="1"/>
  <c r="P36" i="27"/>
  <c r="O28" i="27"/>
  <c r="R28" i="27" s="1"/>
  <c r="P28" i="27"/>
  <c r="O15" i="27"/>
  <c r="R15" i="27" s="1"/>
  <c r="O24" i="27"/>
  <c r="R24" i="27" s="1"/>
  <c r="O37" i="27"/>
  <c r="R37" i="27" s="1"/>
  <c r="P15" i="27"/>
  <c r="P24" i="27"/>
  <c r="P37" i="27"/>
  <c r="O20" i="27"/>
  <c r="R20" i="27" s="1"/>
  <c r="O29" i="27"/>
  <c r="R29" i="27" s="1"/>
  <c r="P20" i="27"/>
  <c r="P29" i="27"/>
  <c r="O11" i="27"/>
  <c r="R11" i="27" s="1"/>
  <c r="O16" i="27"/>
  <c r="R16" i="27" s="1"/>
  <c r="O25" i="27"/>
  <c r="R25" i="27" s="1"/>
  <c r="P11" i="27"/>
  <c r="P16" i="27"/>
  <c r="P25" i="27"/>
  <c r="O21" i="27"/>
  <c r="R21" i="27" s="1"/>
  <c r="P21" i="27"/>
  <c r="O7" i="27"/>
  <c r="R7" i="27" s="1"/>
  <c r="O12" i="27"/>
  <c r="R12" i="27" s="1"/>
  <c r="O17" i="27"/>
  <c r="R17" i="27" s="1"/>
  <c r="P7" i="27"/>
  <c r="P12" i="27"/>
  <c r="P17" i="27"/>
  <c r="O3" i="27"/>
  <c r="R3" i="27" s="1"/>
  <c r="P3" i="27"/>
  <c r="O8" i="27"/>
  <c r="O13" i="27"/>
  <c r="R13" i="27" s="1"/>
  <c r="P2" i="22"/>
  <c r="P3" i="22"/>
  <c r="P4" i="22"/>
  <c r="P5" i="22"/>
  <c r="N6" i="22"/>
  <c r="N7" i="22"/>
  <c r="N8" i="22"/>
  <c r="N9" i="22"/>
  <c r="O8" i="22" s="1"/>
  <c r="P8" i="22" s="1"/>
  <c r="N10" i="22"/>
  <c r="O9" i="22" s="1"/>
  <c r="P9" i="22" s="1"/>
  <c r="N11" i="22"/>
  <c r="N12" i="22"/>
  <c r="N13" i="22"/>
  <c r="N14" i="22"/>
  <c r="N15" i="22"/>
  <c r="O14" i="22" s="1"/>
  <c r="P14" i="22" s="1"/>
  <c r="N16" i="22"/>
  <c r="N17" i="22"/>
  <c r="O16" i="22" s="1"/>
  <c r="P16" i="22" s="1"/>
  <c r="N18" i="22"/>
  <c r="N19" i="22"/>
  <c r="N20" i="22"/>
  <c r="N21" i="22"/>
  <c r="N22" i="22"/>
  <c r="N23" i="22"/>
  <c r="O22" i="22" s="1"/>
  <c r="P22" i="22" s="1"/>
  <c r="N24" i="22"/>
  <c r="N25" i="22"/>
  <c r="N26" i="22"/>
  <c r="N27" i="22"/>
  <c r="O26" i="22" s="1"/>
  <c r="P26" i="22" s="1"/>
  <c r="N28" i="22"/>
  <c r="O27" i="22" s="1"/>
  <c r="P27" i="22" s="1"/>
  <c r="N29" i="22"/>
  <c r="N30" i="22"/>
  <c r="N31" i="22"/>
  <c r="N32" i="22"/>
  <c r="O31" i="22" s="1"/>
  <c r="P31" i="22" s="1"/>
  <c r="N33" i="22"/>
  <c r="N34" i="22"/>
  <c r="N35" i="22"/>
  <c r="O34" i="22" s="1"/>
  <c r="N36" i="22"/>
  <c r="N37" i="22"/>
  <c r="O37" i="22"/>
  <c r="K46" i="10"/>
  <c r="F35" i="10"/>
  <c r="K36" i="10"/>
  <c r="K37" i="10"/>
  <c r="K35" i="10"/>
  <c r="J35" i="10"/>
  <c r="J34" i="10"/>
  <c r="N34" i="10" s="1"/>
  <c r="J37" i="10"/>
  <c r="N32" i="10"/>
  <c r="N33" i="10"/>
  <c r="Q33" i="10" s="1"/>
  <c r="Q37" i="10" s="1"/>
  <c r="N31" i="10"/>
  <c r="P31" i="10" s="1"/>
  <c r="P35" i="10" s="1"/>
  <c r="N28" i="10"/>
  <c r="O28" i="10" s="1"/>
  <c r="N29" i="10"/>
  <c r="Q29" i="10" s="1"/>
  <c r="N27" i="10"/>
  <c r="P27" i="10" s="1"/>
  <c r="J30" i="10"/>
  <c r="N30" i="10" s="1"/>
  <c r="I34" i="10"/>
  <c r="I38" i="10" s="1"/>
  <c r="I30" i="10"/>
  <c r="J36" i="10"/>
  <c r="I36" i="10"/>
  <c r="I37" i="10"/>
  <c r="I35" i="10"/>
  <c r="K34" i="10"/>
  <c r="H37" i="10"/>
  <c r="H35" i="10"/>
  <c r="H36" i="10"/>
  <c r="H34" i="10"/>
  <c r="H38" i="10" s="1"/>
  <c r="K30" i="10"/>
  <c r="H30" i="10"/>
  <c r="N24" i="10"/>
  <c r="P24" i="10" s="1"/>
  <c r="N25" i="10"/>
  <c r="Q25" i="10" s="1"/>
  <c r="N23" i="10"/>
  <c r="Q23" i="10" s="1"/>
  <c r="K26" i="10"/>
  <c r="J26" i="10"/>
  <c r="N26" i="10" s="1"/>
  <c r="I26" i="10"/>
  <c r="H26" i="10"/>
  <c r="N20" i="10"/>
  <c r="Q20" i="10" s="1"/>
  <c r="N21" i="10"/>
  <c r="O21" i="10" s="1"/>
  <c r="N19" i="10"/>
  <c r="O19" i="10" s="1"/>
  <c r="K22" i="10"/>
  <c r="I22" i="10"/>
  <c r="J22" i="10"/>
  <c r="N22" i="10" s="1"/>
  <c r="K18" i="10"/>
  <c r="J18" i="10"/>
  <c r="N18" i="10" s="1"/>
  <c r="P18" i="10" s="1"/>
  <c r="I18" i="10"/>
  <c r="H22" i="10"/>
  <c r="H18" i="10"/>
  <c r="N16" i="10"/>
  <c r="P16" i="10" s="1"/>
  <c r="N17" i="10"/>
  <c r="P17" i="10" s="1"/>
  <c r="N15" i="10"/>
  <c r="P15" i="10" s="1"/>
  <c r="N4" i="10"/>
  <c r="O4" i="10" s="1"/>
  <c r="N5" i="10"/>
  <c r="O5" i="10" s="1"/>
  <c r="N3" i="10"/>
  <c r="O3" i="10" s="1"/>
  <c r="K6" i="10"/>
  <c r="J6" i="10"/>
  <c r="N6" i="10" s="1"/>
  <c r="I6" i="10"/>
  <c r="N12" i="10"/>
  <c r="O12" i="10" s="1"/>
  <c r="N13" i="10"/>
  <c r="Q13" i="10" s="1"/>
  <c r="N11" i="10"/>
  <c r="O11" i="10" s="1"/>
  <c r="N8" i="10"/>
  <c r="O8" i="10" s="1"/>
  <c r="N9" i="10"/>
  <c r="O9" i="10" s="1"/>
  <c r="N7" i="10"/>
  <c r="O7" i="10" s="1"/>
  <c r="J10" i="10"/>
  <c r="N10" i="10" s="1"/>
  <c r="P10" i="10" s="1"/>
  <c r="J14" i="10"/>
  <c r="N14" i="10" s="1"/>
  <c r="P14" i="10" s="1"/>
  <c r="I10" i="10"/>
  <c r="I14" i="10"/>
  <c r="O21" i="22" l="1"/>
  <c r="P21" i="22" s="1"/>
  <c r="O15" i="22"/>
  <c r="P15" i="22" s="1"/>
  <c r="R26" i="27"/>
  <c r="R19" i="27"/>
  <c r="O33" i="22"/>
  <c r="P33" i="22" s="1"/>
  <c r="O25" i="22"/>
  <c r="P25" i="22" s="1"/>
  <c r="R8" i="27"/>
  <c r="Q38" i="27"/>
  <c r="P38" i="27"/>
  <c r="O38" i="27"/>
  <c r="R38" i="27" s="1"/>
  <c r="O28" i="22"/>
  <c r="P28" i="22" s="1"/>
  <c r="O6" i="22"/>
  <c r="P6" i="22" s="1"/>
  <c r="O17" i="22"/>
  <c r="P17" i="22" s="1"/>
  <c r="O32" i="22"/>
  <c r="P32" i="22" s="1"/>
  <c r="O10" i="22"/>
  <c r="P10" i="22" s="1"/>
  <c r="O11" i="22"/>
  <c r="P11" i="22" s="1"/>
  <c r="O7" i="22"/>
  <c r="P7" i="22" s="1"/>
  <c r="O19" i="22"/>
  <c r="P19" i="22" s="1"/>
  <c r="O13" i="22"/>
  <c r="P13" i="22" s="1"/>
  <c r="O30" i="22"/>
  <c r="P30" i="22" s="1"/>
  <c r="O29" i="22"/>
  <c r="P29" i="22" s="1"/>
  <c r="O24" i="22"/>
  <c r="P24" i="22" s="1"/>
  <c r="O20" i="22"/>
  <c r="P20" i="22" s="1"/>
  <c r="O36" i="22"/>
  <c r="O18" i="22"/>
  <c r="P18" i="22" s="1"/>
  <c r="O35" i="22"/>
  <c r="O23" i="22"/>
  <c r="P23" i="22" s="1"/>
  <c r="O12" i="22"/>
  <c r="P12" i="22" s="1"/>
  <c r="P21" i="10"/>
  <c r="P20" i="10"/>
  <c r="P19" i="10"/>
  <c r="Q4" i="10"/>
  <c r="P5" i="10"/>
  <c r="P4" i="10"/>
  <c r="K38" i="10"/>
  <c r="Q27" i="10"/>
  <c r="J38" i="10"/>
  <c r="Q31" i="10"/>
  <c r="Q35" i="10" s="1"/>
  <c r="Q32" i="10"/>
  <c r="Q36" i="10" s="1"/>
  <c r="O33" i="10"/>
  <c r="O37" i="10" s="1"/>
  <c r="O31" i="10"/>
  <c r="O35" i="10" s="1"/>
  <c r="P33" i="10"/>
  <c r="P37" i="10" s="1"/>
  <c r="P32" i="10"/>
  <c r="P36" i="10" s="1"/>
  <c r="P7" i="10"/>
  <c r="Q19" i="10"/>
  <c r="O20" i="10"/>
  <c r="Q21" i="10"/>
  <c r="O17" i="10"/>
  <c r="Q3" i="10"/>
  <c r="O16" i="10"/>
  <c r="P13" i="10"/>
  <c r="P12" i="10"/>
  <c r="P23" i="10"/>
  <c r="O18" i="10"/>
  <c r="P3" i="10"/>
  <c r="Q5" i="10"/>
  <c r="P6" i="10"/>
  <c r="O6" i="10"/>
  <c r="Q6" i="10"/>
  <c r="O22" i="10"/>
  <c r="Q22" i="10"/>
  <c r="P22" i="10"/>
  <c r="Q30" i="10"/>
  <c r="P30" i="10"/>
  <c r="O30" i="10"/>
  <c r="P26" i="10"/>
  <c r="O26" i="10"/>
  <c r="Q26" i="10"/>
  <c r="P29" i="10"/>
  <c r="P28" i="10"/>
  <c r="O24" i="10"/>
  <c r="O23" i="10"/>
  <c r="P25" i="10"/>
  <c r="Q28" i="10"/>
  <c r="P11" i="10"/>
  <c r="P9" i="10"/>
  <c r="O15" i="10"/>
  <c r="P8" i="10"/>
  <c r="Q15" i="10"/>
  <c r="Q18" i="10"/>
  <c r="O29" i="10"/>
  <c r="Q17" i="10"/>
  <c r="Q16" i="10"/>
  <c r="O27" i="10"/>
  <c r="O25" i="10"/>
  <c r="Q24" i="10"/>
  <c r="O13" i="10"/>
  <c r="Q11" i="10"/>
  <c r="Q12" i="10"/>
  <c r="Q14" i="10"/>
  <c r="Q10" i="10"/>
  <c r="Q9" i="10"/>
  <c r="Q8" i="10"/>
  <c r="Q7" i="10"/>
  <c r="O14" i="10"/>
  <c r="O10" i="10"/>
  <c r="R3" i="22" l="1"/>
  <c r="Q6" i="22" s="1"/>
  <c r="U3" i="22"/>
  <c r="Q25" i="22" s="1"/>
  <c r="T3" i="22"/>
  <c r="Q20" i="22" s="1"/>
  <c r="S3" i="22"/>
  <c r="Q7" i="22" s="1"/>
  <c r="O32" i="10"/>
  <c r="O36" i="10" s="1"/>
  <c r="Q34" i="10"/>
  <c r="Q38" i="10" s="1"/>
  <c r="P34" i="10"/>
  <c r="P38" i="10" s="1"/>
  <c r="O34" i="10"/>
  <c r="O38" i="10" s="1"/>
  <c r="Q32" i="22" l="1"/>
  <c r="Q17" i="22"/>
  <c r="Q33" i="22"/>
  <c r="Q5" i="22"/>
  <c r="Q21" i="22"/>
  <c r="Q13" i="22"/>
  <c r="Q9" i="22"/>
  <c r="Q29" i="22"/>
  <c r="Q8" i="22"/>
  <c r="Q24" i="22"/>
  <c r="Q12" i="22"/>
  <c r="Q22" i="22"/>
  <c r="Q18" i="22"/>
  <c r="Q10" i="22"/>
  <c r="Q26" i="22"/>
  <c r="Q14" i="22"/>
  <c r="Q30" i="22"/>
  <c r="Q2" i="22"/>
  <c r="Q28" i="22"/>
  <c r="Q16" i="22"/>
  <c r="Q4" i="22"/>
  <c r="Q23" i="22"/>
  <c r="Q11" i="22"/>
  <c r="Q27" i="22"/>
  <c r="Q15" i="22"/>
  <c r="Q31" i="22"/>
  <c r="Q19" i="22"/>
  <c r="Q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chandrika gour</author>
  </authors>
  <commentList>
    <comment ref="I11" authorId="0" shapeId="0" xr:uid="{C7D2394D-1EEC-4721-A8C9-EBF2DE57D403}">
      <text>
        <r>
          <rPr>
            <b/>
            <sz val="9"/>
            <color indexed="81"/>
            <rFont val="Tahoma"/>
            <family val="2"/>
          </rPr>
          <t>chandrika gour:</t>
        </r>
        <r>
          <rPr>
            <sz val="9"/>
            <color indexed="81"/>
            <rFont val="Tahoma"/>
            <family val="2"/>
          </rPr>
          <t xml:space="preserve">
Table 30 - Adjusted operating profit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chandrika gour</author>
  </authors>
  <commentList>
    <comment ref="I11" authorId="0" shapeId="0" xr:uid="{8B72B5D7-3B9D-4049-B45D-C18563BC7647}">
      <text>
        <r>
          <rPr>
            <b/>
            <sz val="9"/>
            <color indexed="81"/>
            <rFont val="Tahoma"/>
            <family val="2"/>
          </rPr>
          <t>chandrika gour:</t>
        </r>
        <r>
          <rPr>
            <sz val="9"/>
            <color indexed="81"/>
            <rFont val="Tahoma"/>
            <family val="2"/>
          </rPr>
          <t xml:space="preserve">
Table 30 - Adjusted operating profit
</t>
        </r>
      </text>
    </comment>
  </commentList>
</comments>
</file>

<file path=xl/sharedStrings.xml><?xml version="1.0" encoding="utf-8"?>
<sst xmlns="http://schemas.openxmlformats.org/spreadsheetml/2006/main" count="423" uniqueCount="181">
  <si>
    <t>Any Kelloggs</t>
  </si>
  <si>
    <t>Kelloggs Corn Flakes</t>
  </si>
  <si>
    <t>Kelloggs Crunchy Nut Flakes</t>
  </si>
  <si>
    <t>Kelloggs Rice Krispies</t>
  </si>
  <si>
    <t>Kelloggs Frosties</t>
  </si>
  <si>
    <t>Kelloggs Coco Pops</t>
  </si>
  <si>
    <t>Kelloggs Special K Original</t>
  </si>
  <si>
    <t>Kelloggs Bran Flakes</t>
  </si>
  <si>
    <t>Kelloggs Fruit 'N Fibre</t>
  </si>
  <si>
    <t>Kelloggs Krave</t>
  </si>
  <si>
    <t>Kelloggs All-Bran</t>
  </si>
  <si>
    <t>Kelloggs Crunchy Nut Clusters</t>
  </si>
  <si>
    <t>Kelloggs Other Special K</t>
  </si>
  <si>
    <t>Other Kelloggs</t>
  </si>
  <si>
    <t>Kelloggs Honey Loops</t>
  </si>
  <si>
    <t>Kelloggs Sultana Bran</t>
  </si>
  <si>
    <t>Kelloggs Frosted Wheat</t>
  </si>
  <si>
    <t>Kelloggs Variety Pack</t>
  </si>
  <si>
    <t>Kelloggs Crunchy Nut Bites</t>
  </si>
  <si>
    <t>Product</t>
  </si>
  <si>
    <t>Customer(1000's)</t>
  </si>
  <si>
    <t>2018</t>
  </si>
  <si>
    <t>2019</t>
  </si>
  <si>
    <t>2020</t>
  </si>
  <si>
    <t>2021</t>
  </si>
  <si>
    <t>2022</t>
  </si>
  <si>
    <t>2023</t>
  </si>
  <si>
    <t>2024</t>
  </si>
  <si>
    <t>Year</t>
  </si>
  <si>
    <t>Weetabix Original</t>
  </si>
  <si>
    <t>Oats (Original)</t>
  </si>
  <si>
    <t>Quaker Oats So Simple</t>
  </si>
  <si>
    <t>Nestlé Cheerios</t>
  </si>
  <si>
    <t>Aldi</t>
  </si>
  <si>
    <t>Lidl</t>
  </si>
  <si>
    <t>Nestlé Shredded Wheat (Original)</t>
  </si>
  <si>
    <t>Nestlé Shreddies</t>
  </si>
  <si>
    <t>Scott's Porage Oats</t>
  </si>
  <si>
    <t>Alpen Original</t>
  </si>
  <si>
    <t>Asda Corn Flakes</t>
  </si>
  <si>
    <t>Tesco Corn Flakes</t>
  </si>
  <si>
    <t>Nestlé Bitesize Shredded Wheat</t>
  </si>
  <si>
    <t>Ready Brek</t>
  </si>
  <si>
    <t>Nestlé Honey Cheerios</t>
  </si>
  <si>
    <t>Jordans Porridge Oats</t>
  </si>
  <si>
    <t>Alpen No Added Sugar</t>
  </si>
  <si>
    <t>Nestlé Frosted Shreddies</t>
  </si>
  <si>
    <t>Dorset Cereals</t>
  </si>
  <si>
    <t>Jordans Country Crisp</t>
  </si>
  <si>
    <t>Tesco Wheat Biscuits</t>
  </si>
  <si>
    <t>Sainsbury's Cornflakes</t>
  </si>
  <si>
    <t>Nestlé Curiously Cinnamon</t>
  </si>
  <si>
    <t>Weetabix Chocolate</t>
  </si>
  <si>
    <t>Weetabix Minis</t>
  </si>
  <si>
    <t>Morrisons</t>
  </si>
  <si>
    <t>Nestlé Cookie Crisp</t>
  </si>
  <si>
    <t>Nestlé Nesquik</t>
  </si>
  <si>
    <t>Nestlé Coco Shreddies</t>
  </si>
  <si>
    <t>Tesco Muesli</t>
  </si>
  <si>
    <t>Asda Muesli</t>
  </si>
  <si>
    <t>Jordans Muesli</t>
  </si>
  <si>
    <t>Honey Monster Puffs</t>
  </si>
  <si>
    <t>Sainsbury's Wheat Biscuits</t>
  </si>
  <si>
    <t>Asda Wheat Biscuits</t>
  </si>
  <si>
    <t>Sainsbury's Muesli</t>
  </si>
  <si>
    <t>Quaker Oats Granola</t>
  </si>
  <si>
    <t>Nestlé Other Shredded Wheat</t>
  </si>
  <si>
    <t>Oatibix</t>
  </si>
  <si>
    <t>Weetos</t>
  </si>
  <si>
    <t>Oatibix Flakes</t>
  </si>
  <si>
    <t>Deliciously Ella</t>
  </si>
  <si>
    <t>Weetabix Chocolate Melts</t>
  </si>
  <si>
    <t>Brands</t>
  </si>
  <si>
    <t>Consumers(in 1000s)</t>
  </si>
  <si>
    <t>Cereal production value in the United Kingdom (UK) 2003-2024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</si>
  <si>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</si>
  <si>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</si>
  <si>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</si>
  <si>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</si>
  <si>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</si>
  <si>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</si>
  <si>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</si>
  <si>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</si>
  <si>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</si>
  <si>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</si>
  <si>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</si>
  <si>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</si>
  <si>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</si>
  <si>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</si>
  <si>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</si>
  <si>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GBP(millions)</t>
  </si>
  <si>
    <t>Q1</t>
  </si>
  <si>
    <t>Q2</t>
  </si>
  <si>
    <t>Q3</t>
  </si>
  <si>
    <t>Q4</t>
  </si>
  <si>
    <t>Quarter</t>
  </si>
  <si>
    <t>Quaterly Ratio</t>
  </si>
  <si>
    <t xml:space="preserve">  Sales(bn)</t>
  </si>
  <si>
    <t>Operating Profit(mn)</t>
  </si>
  <si>
    <t>Cereal  Sales(mn)</t>
  </si>
  <si>
    <t>Cereal Sales(mn)</t>
  </si>
  <si>
    <t>COGS(mn)</t>
  </si>
  <si>
    <t>Cereal Operating Profit(mn)</t>
  </si>
  <si>
    <t>Advt Cost(mn)</t>
  </si>
  <si>
    <t>Cereal CoGS</t>
  </si>
  <si>
    <t>Cereal Advt Cost</t>
  </si>
  <si>
    <t>Company Sales</t>
  </si>
  <si>
    <t>Annual COGS</t>
  </si>
  <si>
    <t>109 $</t>
  </si>
  <si>
    <t>2024/Kellanova</t>
  </si>
  <si>
    <t>2024/WKKellogg</t>
  </si>
  <si>
    <t>Pricing</t>
  </si>
  <si>
    <t>Volume</t>
  </si>
  <si>
    <t>Row Labels</t>
  </si>
  <si>
    <t>Grand Total</t>
  </si>
  <si>
    <t>Sum of Consumers(in 1000s)</t>
  </si>
  <si>
    <t>Products</t>
  </si>
  <si>
    <t>Kelloggs</t>
  </si>
  <si>
    <t>Quaker</t>
  </si>
  <si>
    <t>Alpen</t>
  </si>
  <si>
    <t>Asda</t>
  </si>
  <si>
    <t>Nestle</t>
  </si>
  <si>
    <t>Tesco</t>
  </si>
  <si>
    <t>Jordans</t>
  </si>
  <si>
    <t>Weetabix</t>
  </si>
  <si>
    <t>Sainsbury</t>
  </si>
  <si>
    <t>Oatbix</t>
  </si>
  <si>
    <t>Big Bear</t>
  </si>
  <si>
    <t>Scotch</t>
  </si>
  <si>
    <t>Hero</t>
  </si>
  <si>
    <t xml:space="preserve">Dorset </t>
  </si>
  <si>
    <t>Count of Products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</si>
  <si>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</si>
  <si>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</si>
  <si>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</si>
  <si>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</si>
  <si>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</si>
  <si>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</si>
  <si>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</si>
  <si>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</si>
  <si>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</si>
  <si>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</si>
  <si>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</si>
  <si>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Operating Profit</t>
  </si>
  <si>
    <t>CerealSales</t>
  </si>
  <si>
    <t>CerealOpertngProfit</t>
  </si>
  <si>
    <t>CerealCoGS</t>
  </si>
  <si>
    <t>CerealAdvtCost</t>
  </si>
  <si>
    <t>Healthy_Launch</t>
  </si>
  <si>
    <t>ZCerealOpertngProfit</t>
  </si>
  <si>
    <t>ZCerealAdvtCost</t>
  </si>
  <si>
    <t>Marketing_Index</t>
  </si>
  <si>
    <t>Cereal Operating Profit</t>
  </si>
  <si>
    <t>Cereal Advertising Cost</t>
  </si>
  <si>
    <t>Cereal COGS</t>
  </si>
  <si>
    <t>Cereal sales</t>
  </si>
  <si>
    <t>B</t>
  </si>
  <si>
    <t>A</t>
  </si>
  <si>
    <t>Forecasted</t>
  </si>
  <si>
    <t>Seasonal Indices</t>
  </si>
  <si>
    <t>Trend</t>
  </si>
  <si>
    <t>Moving Average</t>
  </si>
  <si>
    <t>Upper Confidence Bound(CerealSales)</t>
  </si>
  <si>
    <t>Lower Confidence Bound(CerealSales)</t>
  </si>
  <si>
    <t>Forecast(CerealSales)</t>
  </si>
  <si>
    <t>Sum of CerealOpertngProfit</t>
  </si>
  <si>
    <t>Sum of CerealCoGS</t>
  </si>
  <si>
    <t>Sum of CerealAdvtCost</t>
  </si>
  <si>
    <t>Sparklines</t>
  </si>
  <si>
    <t>Predicted sales_Model1</t>
  </si>
  <si>
    <t>Predicted sales_Model2</t>
  </si>
  <si>
    <t>COGS</t>
  </si>
  <si>
    <t>Adv Cost</t>
  </si>
  <si>
    <t xml:space="preserve">Healthy Launch </t>
  </si>
  <si>
    <t>PredSales_Model 1</t>
  </si>
  <si>
    <t>PredSales_Model 2</t>
  </si>
  <si>
    <t>Constant</t>
  </si>
  <si>
    <t>Marketing Index</t>
  </si>
  <si>
    <t>Healthy Launch</t>
  </si>
  <si>
    <t>Coefficient (Model1)</t>
  </si>
  <si>
    <t>Coefficient (Model2)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</si>
</sst>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5" formatCode="0.0"/>
    <numFmt numFmtId="170" formatCode="0.00000"/>
    <numFmt numFmtId="172" formatCode="dd/mmm/yyyy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5">
    <xf numFmtId="0" fontId="0" fillId="0" borderId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vertical="top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left" vertical="center"/>
    </xf>
    <xf numFmtId="4" fontId="0" fillId="5" borderId="0" xfId="0" applyNumberFormat="1" applyFill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4" fontId="0" fillId="0" borderId="0" xfId="0" applyNumberFormat="1"/>
    <xf numFmtId="0" fontId="7" fillId="5" borderId="1" xfId="0" applyFont="1" applyFill="1" applyBorder="1" applyAlignment="1">
      <alignment horizontal="center" wrapText="1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/>
    </xf>
    <xf numFmtId="2" fontId="8" fillId="0" borderId="1" xfId="0" applyNumberFormat="1" applyFont="1" applyFill="1" applyBorder="1" applyAlignment="1">
      <alignment horizontal="left"/>
    </xf>
    <xf numFmtId="2" fontId="8" fillId="0" borderId="1" xfId="0" applyNumberFormat="1" applyFont="1" applyFill="1" applyBorder="1" applyAlignment="1"/>
    <xf numFmtId="172" fontId="0" fillId="0" borderId="0" xfId="0" applyNumberFormat="1"/>
    <xf numFmtId="10" fontId="0" fillId="0" borderId="0" xfId="0" applyNumberFormat="1"/>
    <xf numFmtId="1" fontId="0" fillId="0" borderId="0" xfId="0" applyNumberFormat="1"/>
    <xf numFmtId="1" fontId="0" fillId="6" borderId="0" xfId="0" applyNumberFormat="1" applyFill="1"/>
    <xf numFmtId="1" fontId="0" fillId="7" borderId="0" xfId="0" applyNumberFormat="1" applyFill="1"/>
    <xf numFmtId="2" fontId="0" fillId="0" borderId="0" xfId="0" applyNumberFormat="1"/>
    <xf numFmtId="170" fontId="0" fillId="0" borderId="0" xfId="0" applyNumberFormat="1"/>
    <xf numFmtId="165" fontId="0" fillId="0" borderId="0" xfId="0" applyNumberFormat="1"/>
    <xf numFmtId="1" fontId="0" fillId="8" borderId="0" xfId="0" applyNumberFormat="1" applyFill="1"/>
    <xf numFmtId="1" fontId="0" fillId="9" borderId="0" xfId="0" applyNumberFormat="1" applyFill="1"/>
    <xf numFmtId="0" fontId="0" fillId="3" borderId="0" xfId="0" applyFill="1"/>
    <xf numFmtId="172" fontId="0" fillId="3" borderId="0" xfId="0" applyNumberFormat="1" applyFill="1"/>
    <xf numFmtId="1" fontId="0" fillId="0" borderId="0" xfId="0" applyNumberFormat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horizontal="center" wrapText="1"/>
    </xf>
    <xf numFmtId="0" fontId="1" fillId="4" borderId="4" xfId="0" applyFont="1" applyFill="1" applyBorder="1" applyAlignment="1">
      <alignment vertical="top"/>
    </xf>
  </cellXfs>
  <cellStyles count="15">
    <cellStyle name="Comma [0] 2" xfId="6" xr:uid="{817C21BB-DE3C-41B0-9BB0-DD8C8AC883AF}"/>
    <cellStyle name="Comma 2" xfId="5" xr:uid="{497E395D-D6D2-45BE-922B-4132AFAD79CA}"/>
    <cellStyle name="Comma 3" xfId="8" xr:uid="{2171DC89-2553-43EB-8D36-B988A52C3F49}"/>
    <cellStyle name="Comma 4" xfId="10" xr:uid="{38ED657A-F53A-4625-9ED4-2916DAEF03AE}"/>
    <cellStyle name="Comma 5" xfId="12" xr:uid="{74046A05-DCAF-4417-A9CB-1200ABCF32CF}"/>
    <cellStyle name="Comma 6" xfId="14" xr:uid="{1A29E8C1-C959-47D8-94B6-8E38F1841603}"/>
    <cellStyle name="Currency [0] 2" xfId="4" xr:uid="{CB0226A3-0830-4284-AEB9-437C9E6DF729}"/>
    <cellStyle name="Currency 2" xfId="3" xr:uid="{D486FF8E-E982-4816-ADA1-86B7A3844F30}"/>
    <cellStyle name="Currency 3" xfId="7" xr:uid="{BDF6D774-1219-4BA6-85DB-A464017B43EC}"/>
    <cellStyle name="Currency 4" xfId="9" xr:uid="{8FA6A0AB-2BCA-4F4A-BC17-A7F9512E2597}"/>
    <cellStyle name="Currency 5" xfId="11" xr:uid="{910A8525-4CAE-43FD-930F-9AAF87E72062}"/>
    <cellStyle name="Currency 6" xfId="13" xr:uid="{D72F469E-CDF4-457B-B6E4-D3B9D4BFC166}"/>
    <cellStyle name="Normal" xfId="0" builtinId="0"/>
    <cellStyle name="Normal 2" xfId="1" xr:uid="{4DD51FD4-C0B4-440E-B4FB-47C67AB37D4D}"/>
    <cellStyle name="Percent 2" xfId="2" xr:uid="{83A69441-59F6-47B8-B6A3-0A48CCCF5729}"/>
  </cellStyles>
  <dxfs count="4">
    <dxf>
      <numFmt numFmtId="1" formatCode="0"/>
    </dxf>
    <dxf>
      <numFmt numFmtId="1" formatCode="0"/>
    </dxf>
    <dxf>
      <numFmt numFmtId="1" formatCode="0"/>
    </dxf>
    <dxf>
      <numFmt numFmtId="172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[KelloggOverall_Quaterly.xlsx]Cost_Smry_Pivot!PivotTable39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Kellogg Company Cost Inccurred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Cost_Smry_Pivot!$B$3</c:f>
              <c:strCache>
                <c:ptCount val="1"/>
                <c:pt idx="0">
                  <c:v>Sum of CerealCoGS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Cost_Smry_Pivot!$A$4:$A$36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Cost_Smry_Pivot!$B$4:$B$36</c:f>
              <c:numCache>
                <c:formatCode>0.00</c:formatCode>
                <c:ptCount val="32"/>
                <c:pt idx="0">
                  <c:v>210.84674031429907</c:v>
                </c:pt>
                <c:pt idx="1">
                  <c:v>197.97339349618795</c:v>
                </c:pt>
                <c:pt idx="2">
                  <c:v>218.62999844406411</c:v>
                </c:pt>
                <c:pt idx="3">
                  <c:v>176.11825112805352</c:v>
                </c:pt>
                <c:pt idx="4">
                  <c:v>214.31305824167711</c:v>
                </c:pt>
                <c:pt idx="5">
                  <c:v>207.04982652985902</c:v>
                </c:pt>
                <c:pt idx="6">
                  <c:v>225.11921458625525</c:v>
                </c:pt>
                <c:pt idx="7">
                  <c:v>200.31770871779727</c:v>
                </c:pt>
                <c:pt idx="8">
                  <c:v>226.77308882015024</c:v>
                </c:pt>
                <c:pt idx="9">
                  <c:v>210.44336426572397</c:v>
                </c:pt>
                <c:pt idx="10">
                  <c:v>223.60877890705555</c:v>
                </c:pt>
                <c:pt idx="11">
                  <c:v>191.51789659743704</c:v>
                </c:pt>
                <c:pt idx="12">
                  <c:v>255.9529411764706</c:v>
                </c:pt>
                <c:pt idx="13">
                  <c:v>237.83529411764704</c:v>
                </c:pt>
                <c:pt idx="14">
                  <c:v>214.2245461147422</c:v>
                </c:pt>
                <c:pt idx="15">
                  <c:v>183.8757443718228</c:v>
                </c:pt>
                <c:pt idx="16">
                  <c:v>234.2970380818054</c:v>
                </c:pt>
                <c:pt idx="17">
                  <c:v>219.62031029619183</c:v>
                </c:pt>
                <c:pt idx="18">
                  <c:v>227.50641748942172</c:v>
                </c:pt>
                <c:pt idx="19">
                  <c:v>56.086036671368127</c:v>
                </c:pt>
                <c:pt idx="20">
                  <c:v>210.12748041775455</c:v>
                </c:pt>
                <c:pt idx="21">
                  <c:v>238.35391644908617</c:v>
                </c:pt>
                <c:pt idx="22">
                  <c:v>247.03100522193211</c:v>
                </c:pt>
                <c:pt idx="23">
                  <c:v>69.264360313315933</c:v>
                </c:pt>
                <c:pt idx="24">
                  <c:v>147.13391768292684</c:v>
                </c:pt>
                <c:pt idx="25">
                  <c:v>145.92652439024391</c:v>
                </c:pt>
                <c:pt idx="26">
                  <c:v>135.34024390243903</c:v>
                </c:pt>
                <c:pt idx="27">
                  <c:v>35.127439024390249</c:v>
                </c:pt>
                <c:pt idx="28">
                  <c:v>620.87082352941172</c:v>
                </c:pt>
                <c:pt idx="29">
                  <c:v>585.7536470588235</c:v>
                </c:pt>
                <c:pt idx="30">
                  <c:v>606.31999999999994</c:v>
                </c:pt>
                <c:pt idx="31">
                  <c:v>536.81552941176471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6-4589-AB32-3B6BAE094EF2}"/>
            </c:ext>
          </c:extLst>
        </c:ser>
        <c:ser>
          <c:idx val="1"/>
          <c:order val="1"/>
          <c:tx>
            <c:strRef>
              <c:f>Cost_Smry_Pivot!$C$3</c:f>
              <c:strCache>
                <c:ptCount val="1"/>
                <c:pt idx="0">
                  <c:v>Sum of CerealOpertngProfit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Cost_Smry_Pivot!$A$4:$A$36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Cost_Smry_Pivot!$C$4:$C$36</c:f>
              <c:numCache>
                <c:formatCode>0.00</c:formatCode>
                <c:ptCount val="32"/>
                <c:pt idx="0">
                  <c:v>28.274467091955813</c:v>
                </c:pt>
                <c:pt idx="1">
                  <c:v>39.087054613349927</c:v>
                </c:pt>
                <c:pt idx="2">
                  <c:v>35.10308075307298</c:v>
                </c:pt>
                <c:pt idx="3">
                  <c:v>38.252372802240551</c:v>
                </c:pt>
                <c:pt idx="4">
                  <c:v>50.860707167638587</c:v>
                </c:pt>
                <c:pt idx="5">
                  <c:v>45.62604266627298</c:v>
                </c:pt>
                <c:pt idx="6">
                  <c:v>38.877980364656381</c:v>
                </c:pt>
                <c:pt idx="7">
                  <c:v>29.310400826751309</c:v>
                </c:pt>
                <c:pt idx="8">
                  <c:v>35.776623950508174</c:v>
                </c:pt>
                <c:pt idx="9">
                  <c:v>36.723523346590071</c:v>
                </c:pt>
                <c:pt idx="10">
                  <c:v>24.793047576962735</c:v>
                </c:pt>
                <c:pt idx="11">
                  <c:v>32.293415819708351</c:v>
                </c:pt>
                <c:pt idx="12">
                  <c:v>51.800000000000004</c:v>
                </c:pt>
                <c:pt idx="13">
                  <c:v>53.06201888162672</c:v>
                </c:pt>
                <c:pt idx="14">
                  <c:v>39.518082788671023</c:v>
                </c:pt>
                <c:pt idx="15">
                  <c:v>31.062817719680464</c:v>
                </c:pt>
                <c:pt idx="16">
                  <c:v>45.735401974612138</c:v>
                </c:pt>
                <c:pt idx="17">
                  <c:v>47.485472496473911</c:v>
                </c:pt>
                <c:pt idx="18">
                  <c:v>41.390056417489426</c:v>
                </c:pt>
                <c:pt idx="19">
                  <c:v>25.521861777150917</c:v>
                </c:pt>
                <c:pt idx="20">
                  <c:v>43.229569190600515</c:v>
                </c:pt>
                <c:pt idx="21">
                  <c:v>36.353133159268928</c:v>
                </c:pt>
                <c:pt idx="22">
                  <c:v>32.548302872062663</c:v>
                </c:pt>
                <c:pt idx="23">
                  <c:v>28.470626631853786</c:v>
                </c:pt>
                <c:pt idx="24">
                  <c:v>17.90655487804878</c:v>
                </c:pt>
                <c:pt idx="25">
                  <c:v>22.470960365853657</c:v>
                </c:pt>
                <c:pt idx="26">
                  <c:v>21.583536585365856</c:v>
                </c:pt>
                <c:pt idx="27">
                  <c:v>16.650000000000002</c:v>
                </c:pt>
                <c:pt idx="28">
                  <c:v>49.175764705882358</c:v>
                </c:pt>
                <c:pt idx="29">
                  <c:v>73.641333333333336</c:v>
                </c:pt>
                <c:pt idx="30">
                  <c:v>36.677647058823524</c:v>
                </c:pt>
                <c:pt idx="31">
                  <c:v>48.404235294117647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6-4589-AB32-3B6BAE094EF2}"/>
            </c:ext>
          </c:extLst>
        </c:ser>
        <c:ser>
          <c:idx val="2"/>
          <c:order val="2"/>
          <c:tx>
            <c:strRef>
              <c:f>Cost_Smry_Pivot!$D$3</c:f>
              <c:strCache>
                <c:ptCount val="1"/>
                <c:pt idx="0">
                  <c:v>Sum of CerealAdvtCost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Cost_Smry_Pivot!$A$4:$A$36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Cost_Smry_Pivot!$D$4:$D$36</c:f>
              <c:numCache>
                <c:formatCode>0.00</c:formatCode>
                <c:ptCount val="32"/>
                <c:pt idx="0">
                  <c:v>73.917535397541627</c:v>
                </c:pt>
                <c:pt idx="1">
                  <c:v>74.316166173953633</c:v>
                </c:pt>
                <c:pt idx="2">
                  <c:v>77.163528862610875</c:v>
                </c:pt>
                <c:pt idx="3">
                  <c:v>71.981328769254702</c:v>
                </c:pt>
                <c:pt idx="4">
                  <c:v>74.9946113530671</c:v>
                </c:pt>
                <c:pt idx="5">
                  <c:v>72.385620432568103</c:v>
                </c:pt>
                <c:pt idx="6">
                  <c:v>73.828892005610101</c:v>
                </c:pt>
                <c:pt idx="7">
                  <c:v>67.61172215250609</c:v>
                </c:pt>
                <c:pt idx="8">
                  <c:v>63.477684489615555</c:v>
                </c:pt>
                <c:pt idx="9">
                  <c:v>62.531742524672261</c:v>
                </c:pt>
                <c:pt idx="10">
                  <c:v>63.726616585653268</c:v>
                </c:pt>
                <c:pt idx="11">
                  <c:v>60.639858594785686</c:v>
                </c:pt>
                <c:pt idx="12">
                  <c:v>88.13899782135077</c:v>
                </c:pt>
                <c:pt idx="13">
                  <c:v>81.900072621641243</c:v>
                </c:pt>
                <c:pt idx="14">
                  <c:v>75.093972403776334</c:v>
                </c:pt>
                <c:pt idx="15">
                  <c:v>63.013144517066081</c:v>
                </c:pt>
                <c:pt idx="16">
                  <c:v>52.421297602256708</c:v>
                </c:pt>
                <c:pt idx="17">
                  <c:v>50.971509167842036</c:v>
                </c:pt>
                <c:pt idx="18">
                  <c:v>50.094005641748943</c:v>
                </c:pt>
                <c:pt idx="19">
                  <c:v>41.967559943582515</c:v>
                </c:pt>
                <c:pt idx="20">
                  <c:v>45.905287206266316</c:v>
                </c:pt>
                <c:pt idx="21">
                  <c:v>48.091253263707571</c:v>
                </c:pt>
                <c:pt idx="22">
                  <c:v>48.557114882506525</c:v>
                </c:pt>
                <c:pt idx="23">
                  <c:v>46.657832898172323</c:v>
                </c:pt>
                <c:pt idx="24">
                  <c:v>32.759679878048786</c:v>
                </c:pt>
                <c:pt idx="25">
                  <c:v>34.110594512195121</c:v>
                </c:pt>
                <c:pt idx="26">
                  <c:v>33.000914634146348</c:v>
                </c:pt>
                <c:pt idx="27">
                  <c:v>32.132469512195122</c:v>
                </c:pt>
                <c:pt idx="28">
                  <c:v>84.107529411764716</c:v>
                </c:pt>
                <c:pt idx="29">
                  <c:v>82.206823529411764</c:v>
                </c:pt>
                <c:pt idx="30">
                  <c:v>82.256470588235288</c:v>
                </c:pt>
                <c:pt idx="31">
                  <c:v>95.476235294117657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76-4589-AB32-3B6BAE094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9685648"/>
        <c:axId val="1089692368"/>
      </c:barChart>
      <c:catAx>
        <c:axId val="108968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92368"/>
        <c:crosses val="autoZero"/>
        <c:auto val="1"/>
        <c:lblAlgn val="ctr"/>
        <c:lblOffset val="100"/>
        <c:noMultiLvlLbl val="0"/>
      </c:catAx>
      <c:valAx>
        <c:axId val="108969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8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Seasonality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KelloggSPSS_Data_Seasonality!$B$1</c:f>
              <c:strCache>
                <c:ptCount val="1"/>
                <c:pt idx="0">
                  <c:v>CerealSales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KelloggSPSS_Data_Seasonality!$A$2:$A$55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KelloggSPSS_Data_Seasonality!$B$2:$B$55</c:f>
              <c:numCache>
                <c:formatCode>0</c:formatCode>
                <c:ptCount val="54"/>
                <c:pt idx="0">
                  <c:v>1298</c:v>
                </c:pt>
                <c:pt idx="1">
                  <c:v>1305</c:v>
                </c:pt>
                <c:pt idx="2">
                  <c:v>1355</c:v>
                </c:pt>
                <c:pt idx="3">
                  <c:v>1264</c:v>
                </c:pt>
                <c:pt idx="4">
                  <c:v>1351</c:v>
                </c:pt>
                <c:pt idx="5">
                  <c:v>1304</c:v>
                </c:pt>
                <c:pt idx="6">
                  <c:v>1330</c:v>
                </c:pt>
                <c:pt idx="7">
                  <c:v>1218</c:v>
                </c:pt>
                <c:pt idx="8">
                  <c:v>1275</c:v>
                </c:pt>
                <c:pt idx="9">
                  <c:v>1256</c:v>
                </c:pt>
                <c:pt idx="10">
                  <c:v>1280</c:v>
                </c:pt>
                <c:pt idx="11">
                  <c:v>1218</c:v>
                </c:pt>
                <c:pt idx="12">
                  <c:v>1554</c:v>
                </c:pt>
                <c:pt idx="13">
                  <c:v>1444</c:v>
                </c:pt>
                <c:pt idx="14">
                  <c:v>1324</c:v>
                </c:pt>
                <c:pt idx="15">
                  <c:v>1111</c:v>
                </c:pt>
                <c:pt idx="16">
                  <c:v>1374</c:v>
                </c:pt>
                <c:pt idx="17">
                  <c:v>1336</c:v>
                </c:pt>
                <c:pt idx="18">
                  <c:v>1313</c:v>
                </c:pt>
                <c:pt idx="19">
                  <c:v>1100</c:v>
                </c:pt>
                <c:pt idx="20">
                  <c:v>1281</c:v>
                </c:pt>
                <c:pt idx="21">
                  <c:v>1342</c:v>
                </c:pt>
                <c:pt idx="22">
                  <c:v>1355</c:v>
                </c:pt>
                <c:pt idx="23">
                  <c:v>1302</c:v>
                </c:pt>
                <c:pt idx="24">
                  <c:v>679</c:v>
                </c:pt>
                <c:pt idx="25">
                  <c:v>707</c:v>
                </c:pt>
                <c:pt idx="26">
                  <c:v>684</c:v>
                </c:pt>
                <c:pt idx="27">
                  <c:v>666</c:v>
                </c:pt>
                <c:pt idx="28">
                  <c:v>1372</c:v>
                </c:pt>
                <c:pt idx="29">
                  <c:v>1392</c:v>
                </c:pt>
                <c:pt idx="30">
                  <c:v>1370</c:v>
                </c:pt>
                <c:pt idx="31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C-4545-9D39-38FB25C811B3}"/>
            </c:ext>
          </c:extLst>
        </c:ser>
        <c:ser>
          <c:idx val="1"/>
          <c:order val="1"/>
          <c:tx>
            <c:strRef>
              <c:f>KelloggSPSS_Data_Seasonality!$O$1</c:f>
              <c:strCache>
                <c:ptCount val="1"/>
                <c:pt idx="0">
                  <c:v>Trend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KelloggSPSS_Data_Seasonality!$A$2:$A$55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KelloggSPSS_Data_Seasonality!$O$2:$O$55</c:f>
              <c:numCache>
                <c:formatCode>General</c:formatCode>
                <c:ptCount val="54"/>
                <c:pt idx="4" formatCode="0">
                  <c:v>1312.125</c:v>
                </c:pt>
                <c:pt idx="5" formatCode="0">
                  <c:v>1318.625</c:v>
                </c:pt>
                <c:pt idx="6" formatCode="0">
                  <c:v>1315.375</c:v>
                </c:pt>
                <c:pt idx="7" formatCode="0">
                  <c:v>1306.5</c:v>
                </c:pt>
                <c:pt idx="8" formatCode="0">
                  <c:v>1291.25</c:v>
                </c:pt>
                <c:pt idx="9" formatCode="0">
                  <c:v>1275.75</c:v>
                </c:pt>
                <c:pt idx="10" formatCode="0">
                  <c:v>1263.5</c:v>
                </c:pt>
                <c:pt idx="11" formatCode="0">
                  <c:v>1257.25</c:v>
                </c:pt>
                <c:pt idx="12" formatCode="0">
                  <c:v>1292.125</c:v>
                </c:pt>
                <c:pt idx="13" formatCode="0">
                  <c:v>1350.5</c:v>
                </c:pt>
                <c:pt idx="14" formatCode="0">
                  <c:v>1379.5</c:v>
                </c:pt>
                <c:pt idx="15" formatCode="0">
                  <c:v>1371.625</c:v>
                </c:pt>
                <c:pt idx="16" formatCode="0">
                  <c:v>1335.75</c:v>
                </c:pt>
                <c:pt idx="17" formatCode="0">
                  <c:v>1299.75</c:v>
                </c:pt>
                <c:pt idx="18" formatCode="0">
                  <c:v>1284.875</c:v>
                </c:pt>
                <c:pt idx="19" formatCode="0">
                  <c:v>1282.125</c:v>
                </c:pt>
                <c:pt idx="20" formatCode="0">
                  <c:v>1269.125</c:v>
                </c:pt>
                <c:pt idx="21" formatCode="0">
                  <c:v>1258.25</c:v>
                </c:pt>
                <c:pt idx="22" formatCode="0">
                  <c:v>1264.25</c:v>
                </c:pt>
                <c:pt idx="23" formatCode="0">
                  <c:v>1294.75</c:v>
                </c:pt>
                <c:pt idx="24" formatCode="0">
                  <c:v>1244.75</c:v>
                </c:pt>
                <c:pt idx="25" formatCode="0">
                  <c:v>1090.125</c:v>
                </c:pt>
                <c:pt idx="26" formatCode="0">
                  <c:v>926.875</c:v>
                </c:pt>
                <c:pt idx="27" formatCode="0">
                  <c:v>763.5</c:v>
                </c:pt>
                <c:pt idx="28" formatCode="0">
                  <c:v>770.625</c:v>
                </c:pt>
                <c:pt idx="29" formatCode="0">
                  <c:v>942.875</c:v>
                </c:pt>
                <c:pt idx="30" formatCode="0">
                  <c:v>1114.25</c:v>
                </c:pt>
                <c:pt idx="31" formatCode="0">
                  <c:v>1276</c:v>
                </c:pt>
                <c:pt idx="32" formatCode="0">
                  <c:v>1348.6666666666665</c:v>
                </c:pt>
                <c:pt idx="33" formatCode="0">
                  <c:v>1333.6666666666665</c:v>
                </c:pt>
                <c:pt idx="34" formatCode="0">
                  <c:v>1298</c:v>
                </c:pt>
                <c:pt idx="35" formatCode="0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FC-4545-9D39-38FB25C811B3}"/>
            </c:ext>
          </c:extLst>
        </c:ser>
        <c:ser>
          <c:idx val="2"/>
          <c:order val="2"/>
          <c:tx>
            <c:strRef>
              <c:f>KelloggSPSS_Data_Seasonality!$Q$1</c:f>
              <c:strCache>
                <c:ptCount val="1"/>
                <c:pt idx="0">
                  <c:v>Forecasted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KelloggSPSS_Data_Seasonality!$A$2:$A$55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KelloggSPSS_Data_Seasonality!$Q$2:$Q$55</c:f>
              <c:numCache>
                <c:formatCode>0</c:formatCode>
                <c:ptCount val="54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  <c:pt idx="31">
                  <c:v>1368.6785714285713</c:v>
                </c:pt>
                <c:pt idx="32">
                  <c:v>1348.6666666666665</c:v>
                </c:pt>
                <c:pt idx="33">
                  <c:v>1333.6666666666665</c:v>
                </c:pt>
                <c:pt idx="34">
                  <c:v>1298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FC-4545-9D39-38FB25C8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127008"/>
        <c:axId val="1067129888"/>
      </c:lineChart>
      <c:catAx>
        <c:axId val="10671270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29888"/>
        <c:crosses val="autoZero"/>
        <c:auto val="1"/>
        <c:lblAlgn val="ctr"/>
        <c:lblOffset val="100"/>
        <c:noMultiLvlLbl val="0"/>
      </c:catAx>
      <c:valAx>
        <c:axId val="10671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PredictedSales_Model1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KelloggSPSS_Data_Seasonality!$Q$1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KelloggSPSS_Data_Seasonality!$Q$2:$Q$32</c:f>
              <c:numCache>
                <c:formatCode>0</c:formatCode>
                <c:ptCount val="31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A-4952-9A1E-50C918F68E5A}"/>
            </c:ext>
          </c:extLst>
        </c:ser>
        <c:ser>
          <c:idx val="1"/>
          <c:order val="1"/>
          <c:tx>
            <c:strRef>
              <c:f>KelloggSPSS_Data_Seasonality!$V$1</c:f>
              <c:strCache>
                <c:ptCount val="1"/>
                <c:pt idx="0">
                  <c:v>PredSales_Model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KelloggSPSS_Data_Seasonality!$V$2:$V$32</c:f>
              <c:numCache>
                <c:formatCode>General</c:formatCode>
                <c:ptCount val="31"/>
                <c:pt idx="0">
                  <c:v>1282.0067518749026</c:v>
                </c:pt>
                <c:pt idx="1">
                  <c:v>542.57986706083705</c:v>
                </c:pt>
                <c:pt idx="2">
                  <c:v>508.74098938851728</c:v>
                </c:pt>
                <c:pt idx="3">
                  <c:v>512.8777725066127</c:v>
                </c:pt>
                <c:pt idx="4">
                  <c:v>526.0114665756256</c:v>
                </c:pt>
                <c:pt idx="5">
                  <c:v>522.80479219753454</c:v>
                </c:pt>
                <c:pt idx="6">
                  <c:v>-38.387829873772716</c:v>
                </c:pt>
                <c:pt idx="7">
                  <c:v>476.63193295194503</c:v>
                </c:pt>
                <c:pt idx="8">
                  <c:v>456.15689138311973</c:v>
                </c:pt>
                <c:pt idx="9">
                  <c:v>470.09183929886575</c:v>
                </c:pt>
                <c:pt idx="10">
                  <c:v>462.30712477537196</c:v>
                </c:pt>
                <c:pt idx="11">
                  <c:v>468.42879677419353</c:v>
                </c:pt>
                <c:pt idx="12">
                  <c:v>636.58735620915036</c:v>
                </c:pt>
                <c:pt idx="13">
                  <c:v>611.13312389251985</c:v>
                </c:pt>
                <c:pt idx="14">
                  <c:v>564.67677363834423</c:v>
                </c:pt>
                <c:pt idx="15">
                  <c:v>493.32721488743641</c:v>
                </c:pt>
                <c:pt idx="16">
                  <c:v>474.49537023977439</c:v>
                </c:pt>
                <c:pt idx="17">
                  <c:v>490.671540338505</c:v>
                </c:pt>
                <c:pt idx="18">
                  <c:v>484.74512115655853</c:v>
                </c:pt>
                <c:pt idx="19">
                  <c:v>480.19384936530327</c:v>
                </c:pt>
                <c:pt idx="20">
                  <c:v>503.92988929503906</c:v>
                </c:pt>
                <c:pt idx="21">
                  <c:v>509.19016788511743</c:v>
                </c:pt>
                <c:pt idx="22">
                  <c:v>513.53039791122706</c:v>
                </c:pt>
                <c:pt idx="23">
                  <c:v>566.57304281984329</c:v>
                </c:pt>
                <c:pt idx="24">
                  <c:v>-118.79878536585363</c:v>
                </c:pt>
                <c:pt idx="25">
                  <c:v>-110.91857957317075</c:v>
                </c:pt>
                <c:pt idx="26">
                  <c:v>-120.47866585365853</c:v>
                </c:pt>
                <c:pt idx="27">
                  <c:v>-81.797737804878011</c:v>
                </c:pt>
                <c:pt idx="28">
                  <c:v>543.78679388235298</c:v>
                </c:pt>
                <c:pt idx="29">
                  <c:v>571.19078015686273</c:v>
                </c:pt>
                <c:pt idx="30">
                  <c:v>500.83276588235287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A-4952-9A1E-50C918F68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009968"/>
        <c:axId val="1072011408"/>
      </c:lineChart>
      <c:catAx>
        <c:axId val="1072009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11408"/>
        <c:crosses val="autoZero"/>
        <c:auto val="1"/>
        <c:lblAlgn val="ctr"/>
        <c:lblOffset val="100"/>
        <c:noMultiLvlLbl val="0"/>
      </c:catAx>
      <c:valAx>
        <c:axId val="10720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0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ActualvsPredictedSalesModel1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KelloggSPSS_Data_Seasonality!$Q$1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KelloggSPSS_Data_Seasonality!$Q$2:$Q$37</c:f>
              <c:numCache>
                <c:formatCode>0</c:formatCode>
                <c:ptCount val="36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  <c:pt idx="31">
                  <c:v>1368.6785714285713</c:v>
                </c:pt>
                <c:pt idx="32">
                  <c:v>1348.6666666666665</c:v>
                </c:pt>
                <c:pt idx="33">
                  <c:v>1333.6666666666665</c:v>
                </c:pt>
                <c:pt idx="34">
                  <c:v>1298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3-4C6C-8F85-A5A369475407}"/>
            </c:ext>
          </c:extLst>
        </c:ser>
        <c:ser>
          <c:idx val="1"/>
          <c:order val="1"/>
          <c:tx>
            <c:strRef>
              <c:f>KelloggSPSS_Data_Seasonality!$V$1</c:f>
              <c:strCache>
                <c:ptCount val="1"/>
                <c:pt idx="0">
                  <c:v>PredSales_Model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KelloggSPSS_Data_Seasonality!$V$2:$V$37</c:f>
              <c:numCache>
                <c:formatCode>General</c:formatCode>
                <c:ptCount val="36"/>
                <c:pt idx="0">
                  <c:v>1282.0067518749026</c:v>
                </c:pt>
                <c:pt idx="1">
                  <c:v>542.57986706083705</c:v>
                </c:pt>
                <c:pt idx="2">
                  <c:v>508.74098938851728</c:v>
                </c:pt>
                <c:pt idx="3">
                  <c:v>512.8777725066127</c:v>
                </c:pt>
                <c:pt idx="4">
                  <c:v>526.0114665756256</c:v>
                </c:pt>
                <c:pt idx="5">
                  <c:v>522.80479219753454</c:v>
                </c:pt>
                <c:pt idx="6">
                  <c:v>-38.387829873772716</c:v>
                </c:pt>
                <c:pt idx="7">
                  <c:v>476.63193295194503</c:v>
                </c:pt>
                <c:pt idx="8">
                  <c:v>456.15689138311973</c:v>
                </c:pt>
                <c:pt idx="9">
                  <c:v>470.09183929886575</c:v>
                </c:pt>
                <c:pt idx="10">
                  <c:v>462.30712477537196</c:v>
                </c:pt>
                <c:pt idx="11">
                  <c:v>468.42879677419353</c:v>
                </c:pt>
                <c:pt idx="12">
                  <c:v>636.58735620915036</c:v>
                </c:pt>
                <c:pt idx="13">
                  <c:v>611.13312389251985</c:v>
                </c:pt>
                <c:pt idx="14">
                  <c:v>564.67677363834423</c:v>
                </c:pt>
                <c:pt idx="15">
                  <c:v>493.32721488743641</c:v>
                </c:pt>
                <c:pt idx="16">
                  <c:v>474.49537023977439</c:v>
                </c:pt>
                <c:pt idx="17">
                  <c:v>490.671540338505</c:v>
                </c:pt>
                <c:pt idx="18">
                  <c:v>484.74512115655853</c:v>
                </c:pt>
                <c:pt idx="19">
                  <c:v>480.19384936530327</c:v>
                </c:pt>
                <c:pt idx="20">
                  <c:v>503.92988929503906</c:v>
                </c:pt>
                <c:pt idx="21">
                  <c:v>509.19016788511743</c:v>
                </c:pt>
                <c:pt idx="22">
                  <c:v>513.53039791122706</c:v>
                </c:pt>
                <c:pt idx="23">
                  <c:v>566.57304281984329</c:v>
                </c:pt>
                <c:pt idx="24">
                  <c:v>-118.79878536585363</c:v>
                </c:pt>
                <c:pt idx="25">
                  <c:v>-110.91857957317075</c:v>
                </c:pt>
                <c:pt idx="26">
                  <c:v>-120.47866585365853</c:v>
                </c:pt>
                <c:pt idx="27">
                  <c:v>-81.797737804878011</c:v>
                </c:pt>
                <c:pt idx="28">
                  <c:v>543.78679388235298</c:v>
                </c:pt>
                <c:pt idx="29">
                  <c:v>571.19078015686273</c:v>
                </c:pt>
                <c:pt idx="30">
                  <c:v>500.83276588235287</c:v>
                </c:pt>
                <c:pt idx="31">
                  <c:v>652.52241364705878</c:v>
                </c:pt>
                <c:pt idx="32">
                  <c:v>663.01005294117647</c:v>
                </c:pt>
                <c:pt idx="33">
                  <c:v>672.27179999999998</c:v>
                </c:pt>
                <c:pt idx="34">
                  <c:v>651.62300000000005</c:v>
                </c:pt>
                <c:pt idx="35">
                  <c:v>648.69159999999999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3-4C6C-8F85-A5A369475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856672"/>
        <c:axId val="1498849952"/>
      </c:lineChart>
      <c:catAx>
        <c:axId val="149885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49952"/>
        <c:crosses val="autoZero"/>
        <c:auto val="1"/>
        <c:lblAlgn val="ctr"/>
        <c:lblOffset val="100"/>
        <c:noMultiLvlLbl val="0"/>
      </c:catAx>
      <c:valAx>
        <c:axId val="14988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ActualvsPredictedSalesModel2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KelloggSPSS_Data_Seasonality!$Q$1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KelloggSPSS_Data_Seasonality!$Q$2:$Q$37</c:f>
              <c:numCache>
                <c:formatCode>0</c:formatCode>
                <c:ptCount val="36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  <c:pt idx="31">
                  <c:v>1368.6785714285713</c:v>
                </c:pt>
                <c:pt idx="32">
                  <c:v>1348.6666666666665</c:v>
                </c:pt>
                <c:pt idx="33">
                  <c:v>1333.6666666666665</c:v>
                </c:pt>
                <c:pt idx="34">
                  <c:v>1298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D-49B1-9412-5B04F9A87FF1}"/>
            </c:ext>
          </c:extLst>
        </c:ser>
        <c:ser>
          <c:idx val="1"/>
          <c:order val="1"/>
          <c:tx>
            <c:strRef>
              <c:f>KelloggSPSS_Data_Seasonality!$W$1</c:f>
              <c:strCache>
                <c:ptCount val="1"/>
                <c:pt idx="0">
                  <c:v>PredSales_Model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KelloggSPSS_Data_Seasonality!$W$2:$W$37</c:f>
              <c:numCache>
                <c:formatCode>General</c:formatCode>
                <c:ptCount val="36"/>
                <c:pt idx="0">
                  <c:v>1265.276921425308</c:v>
                </c:pt>
                <c:pt idx="1">
                  <c:v>1282.8879431668063</c:v>
                </c:pt>
                <c:pt idx="2">
                  <c:v>1274.9523763036059</c:v>
                </c:pt>
                <c:pt idx="3">
                  <c:v>1286.3410630266389</c:v>
                </c:pt>
                <c:pt idx="4">
                  <c:v>1297.9339234178121</c:v>
                </c:pt>
                <c:pt idx="5">
                  <c:v>1291.6136138462932</c:v>
                </c:pt>
                <c:pt idx="6">
                  <c:v>1283.3878507492666</c:v>
                </c:pt>
                <c:pt idx="7">
                  <c:v>1267.1467544622117</c:v>
                </c:pt>
                <c:pt idx="8">
                  <c:v>1270.5719424392232</c:v>
                </c:pt>
                <c:pt idx="9">
                  <c:v>1277.7250914381668</c:v>
                </c:pt>
                <c:pt idx="10">
                  <c:v>1261.3656336288311</c:v>
                </c:pt>
                <c:pt idx="11">
                  <c:v>1277.9490061537185</c:v>
                </c:pt>
                <c:pt idx="12">
                  <c:v>1343.9006842798146</c:v>
                </c:pt>
                <c:pt idx="13">
                  <c:v>1345.8799336158997</c:v>
                </c:pt>
                <c:pt idx="14">
                  <c:v>1322.311526598804</c:v>
                </c:pt>
                <c:pt idx="15">
                  <c:v>1302.3120664496394</c:v>
                </c:pt>
                <c:pt idx="16">
                  <c:v>1311.5935928865222</c:v>
                </c:pt>
                <c:pt idx="17">
                  <c:v>1321.9668185370838</c:v>
                </c:pt>
                <c:pt idx="18">
                  <c:v>1313.8190963033503</c:v>
                </c:pt>
                <c:pt idx="19">
                  <c:v>1307.6655284097949</c:v>
                </c:pt>
                <c:pt idx="20">
                  <c:v>1327.2494303585802</c:v>
                </c:pt>
                <c:pt idx="21">
                  <c:v>1318.0908779234549</c:v>
                </c:pt>
                <c:pt idx="22">
                  <c:v>1315.082443551898</c:v>
                </c:pt>
                <c:pt idx="23">
                  <c:v>1336.2892727908309</c:v>
                </c:pt>
                <c:pt idx="24">
                  <c:v>741.21945108764112</c:v>
                </c:pt>
                <c:pt idx="25">
                  <c:v>745.06106555425583</c:v>
                </c:pt>
                <c:pt idx="26">
                  <c:v>739.95814009841536</c:v>
                </c:pt>
                <c:pt idx="27">
                  <c:v>751.72707534974427</c:v>
                </c:pt>
                <c:pt idx="28">
                  <c:v>1289.1332439871339</c:v>
                </c:pt>
                <c:pt idx="29">
                  <c:v>1328.771085231419</c:v>
                </c:pt>
                <c:pt idx="30">
                  <c:v>1263.1355788624348</c:v>
                </c:pt>
                <c:pt idx="31">
                  <c:v>1308.2156895568025</c:v>
                </c:pt>
                <c:pt idx="32">
                  <c:v>1257.4577000000002</c:v>
                </c:pt>
                <c:pt idx="33">
                  <c:v>1251.4433999999999</c:v>
                </c:pt>
                <c:pt idx="34">
                  <c:v>1243.9134000000001</c:v>
                </c:pt>
                <c:pt idx="35">
                  <c:v>1243.7271999999998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D-49B1-9412-5B04F9A8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73103"/>
        <c:axId val="32479343"/>
      </c:lineChart>
      <c:catAx>
        <c:axId val="3247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9343"/>
        <c:crosses val="autoZero"/>
        <c:auto val="1"/>
        <c:lblAlgn val="ctr"/>
        <c:lblOffset val="100"/>
        <c:noMultiLvlLbl val="0"/>
      </c:catAx>
      <c:valAx>
        <c:axId val="324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KelloggSPSS_Data_Seasonality!$V$1</c:f>
              <c:strCache>
                <c:ptCount val="1"/>
                <c:pt idx="0">
                  <c:v>PredSales_Model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KelloggSPSS_Data_Seasonality!$Q$2:$Q$37</c:f>
              <c:numCache>
                <c:formatCode>0</c:formatCode>
                <c:ptCount val="36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  <c:pt idx="31">
                  <c:v>1368.6785714285713</c:v>
                </c:pt>
                <c:pt idx="32">
                  <c:v>1348.6666666666665</c:v>
                </c:pt>
                <c:pt idx="33">
                  <c:v>1333.6666666666665</c:v>
                </c:pt>
                <c:pt idx="34">
                  <c:v>1298</c:v>
                </c:pt>
                <c:pt idx="35">
                  <c:v>1274</c:v>
                </c:pt>
              </c:numCache>
            </c:numRef>
          </c:xVal>
          <c:yVal>
            <c:numRef>
              <c:f>KelloggSPSS_Data_Seasonality!$V$2:$V$37</c:f>
              <c:numCache>
                <c:formatCode>General</c:formatCode>
                <c:ptCount val="36"/>
                <c:pt idx="0">
                  <c:v>1282.0067518749026</c:v>
                </c:pt>
                <c:pt idx="1">
                  <c:v>542.57986706083705</c:v>
                </c:pt>
                <c:pt idx="2">
                  <c:v>508.74098938851728</c:v>
                </c:pt>
                <c:pt idx="3">
                  <c:v>512.8777725066127</c:v>
                </c:pt>
                <c:pt idx="4">
                  <c:v>526.0114665756256</c:v>
                </c:pt>
                <c:pt idx="5">
                  <c:v>522.80479219753454</c:v>
                </c:pt>
                <c:pt idx="6">
                  <c:v>-38.387829873772716</c:v>
                </c:pt>
                <c:pt idx="7">
                  <c:v>476.63193295194503</c:v>
                </c:pt>
                <c:pt idx="8">
                  <c:v>456.15689138311973</c:v>
                </c:pt>
                <c:pt idx="9">
                  <c:v>470.09183929886575</c:v>
                </c:pt>
                <c:pt idx="10">
                  <c:v>462.30712477537196</c:v>
                </c:pt>
                <c:pt idx="11">
                  <c:v>468.42879677419353</c:v>
                </c:pt>
                <c:pt idx="12">
                  <c:v>636.58735620915036</c:v>
                </c:pt>
                <c:pt idx="13">
                  <c:v>611.13312389251985</c:v>
                </c:pt>
                <c:pt idx="14">
                  <c:v>564.67677363834423</c:v>
                </c:pt>
                <c:pt idx="15">
                  <c:v>493.32721488743641</c:v>
                </c:pt>
                <c:pt idx="16">
                  <c:v>474.49537023977439</c:v>
                </c:pt>
                <c:pt idx="17">
                  <c:v>490.671540338505</c:v>
                </c:pt>
                <c:pt idx="18">
                  <c:v>484.74512115655853</c:v>
                </c:pt>
                <c:pt idx="19">
                  <c:v>480.19384936530327</c:v>
                </c:pt>
                <c:pt idx="20">
                  <c:v>503.92988929503906</c:v>
                </c:pt>
                <c:pt idx="21">
                  <c:v>509.19016788511743</c:v>
                </c:pt>
                <c:pt idx="22">
                  <c:v>513.53039791122706</c:v>
                </c:pt>
                <c:pt idx="23">
                  <c:v>566.57304281984329</c:v>
                </c:pt>
                <c:pt idx="24">
                  <c:v>-118.79878536585363</c:v>
                </c:pt>
                <c:pt idx="25">
                  <c:v>-110.91857957317075</c:v>
                </c:pt>
                <c:pt idx="26">
                  <c:v>-120.47866585365853</c:v>
                </c:pt>
                <c:pt idx="27">
                  <c:v>-81.797737804878011</c:v>
                </c:pt>
                <c:pt idx="28">
                  <c:v>543.78679388235298</c:v>
                </c:pt>
                <c:pt idx="29">
                  <c:v>571.19078015686273</c:v>
                </c:pt>
                <c:pt idx="30">
                  <c:v>500.83276588235287</c:v>
                </c:pt>
                <c:pt idx="31">
                  <c:v>652.52241364705878</c:v>
                </c:pt>
                <c:pt idx="32">
                  <c:v>663.01005294117647</c:v>
                </c:pt>
                <c:pt idx="33">
                  <c:v>672.27179999999998</c:v>
                </c:pt>
                <c:pt idx="34">
                  <c:v>651.62300000000005</c:v>
                </c:pt>
                <c:pt idx="35">
                  <c:v>648.69159999999999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9-4CA7-A949-E92AA7DB3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785856"/>
        <c:axId val="1060787296"/>
      </c:scatterChart>
      <c:valAx>
        <c:axId val="106078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87296"/>
        <c:crosses val="autoZero"/>
        <c:crossBetween val="midCat"/>
      </c:valAx>
      <c:valAx>
        <c:axId val="106078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8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KelloggSPSS_Data_Seasonality!$W$1</c:f>
              <c:strCache>
                <c:ptCount val="1"/>
                <c:pt idx="0">
                  <c:v>PredSales_Model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KelloggSPSS_Data_Seasonality!$Q$2:$Q$37</c:f>
              <c:numCache>
                <c:formatCode>0</c:formatCode>
                <c:ptCount val="36"/>
                <c:pt idx="0">
                  <c:v>1245.1071428571429</c:v>
                </c:pt>
                <c:pt idx="1">
                  <c:v>1269.9821428571429</c:v>
                </c:pt>
                <c:pt idx="2">
                  <c:v>1339.6607142857142</c:v>
                </c:pt>
                <c:pt idx="3">
                  <c:v>1358.6785714285713</c:v>
                </c:pt>
                <c:pt idx="4">
                  <c:v>1298.1071428571429</c:v>
                </c:pt>
                <c:pt idx="5">
                  <c:v>1268.9821428571429</c:v>
                </c:pt>
                <c:pt idx="6">
                  <c:v>1314.6607142857142</c:v>
                </c:pt>
                <c:pt idx="7">
                  <c:v>1312.6785714285713</c:v>
                </c:pt>
                <c:pt idx="8">
                  <c:v>1222.1071428571429</c:v>
                </c:pt>
                <c:pt idx="9">
                  <c:v>1220.9821428571429</c:v>
                </c:pt>
                <c:pt idx="10">
                  <c:v>1264.6607142857142</c:v>
                </c:pt>
                <c:pt idx="11">
                  <c:v>1312.6785714285713</c:v>
                </c:pt>
                <c:pt idx="12">
                  <c:v>1501.1071428571429</c:v>
                </c:pt>
                <c:pt idx="13">
                  <c:v>1408.9821428571429</c:v>
                </c:pt>
                <c:pt idx="14">
                  <c:v>1308.6607142857142</c:v>
                </c:pt>
                <c:pt idx="15">
                  <c:v>1205.6785714285713</c:v>
                </c:pt>
                <c:pt idx="16">
                  <c:v>1321.1071428571429</c:v>
                </c:pt>
                <c:pt idx="17">
                  <c:v>1300.9821428571429</c:v>
                </c:pt>
                <c:pt idx="18">
                  <c:v>1297.6607142857142</c:v>
                </c:pt>
                <c:pt idx="19">
                  <c:v>1194.6785714285713</c:v>
                </c:pt>
                <c:pt idx="20">
                  <c:v>1228.1071428571429</c:v>
                </c:pt>
                <c:pt idx="21">
                  <c:v>1306.9821428571429</c:v>
                </c:pt>
                <c:pt idx="22">
                  <c:v>1339.6607142857142</c:v>
                </c:pt>
                <c:pt idx="23">
                  <c:v>1396.6785714285713</c:v>
                </c:pt>
                <c:pt idx="24">
                  <c:v>626.10714285714289</c:v>
                </c:pt>
                <c:pt idx="25">
                  <c:v>671.98214285714289</c:v>
                </c:pt>
                <c:pt idx="26">
                  <c:v>668.66071428571433</c:v>
                </c:pt>
                <c:pt idx="27">
                  <c:v>760.67857142857144</c:v>
                </c:pt>
                <c:pt idx="28">
                  <c:v>1319.1071428571429</c:v>
                </c:pt>
                <c:pt idx="29">
                  <c:v>1356.9821428571429</c:v>
                </c:pt>
                <c:pt idx="30">
                  <c:v>1354.6607142857142</c:v>
                </c:pt>
                <c:pt idx="31">
                  <c:v>1368.6785714285713</c:v>
                </c:pt>
                <c:pt idx="32">
                  <c:v>1348.6666666666665</c:v>
                </c:pt>
                <c:pt idx="33">
                  <c:v>1333.6666666666665</c:v>
                </c:pt>
                <c:pt idx="34">
                  <c:v>1298</c:v>
                </c:pt>
                <c:pt idx="35">
                  <c:v>1274</c:v>
                </c:pt>
              </c:numCache>
            </c:numRef>
          </c:xVal>
          <c:yVal>
            <c:numRef>
              <c:f>KelloggSPSS_Data_Seasonality!$W$2:$W$37</c:f>
              <c:numCache>
                <c:formatCode>General</c:formatCode>
                <c:ptCount val="36"/>
                <c:pt idx="0">
                  <c:v>1265.276921425308</c:v>
                </c:pt>
                <c:pt idx="1">
                  <c:v>1282.8879431668063</c:v>
                </c:pt>
                <c:pt idx="2">
                  <c:v>1274.9523763036059</c:v>
                </c:pt>
                <c:pt idx="3">
                  <c:v>1286.3410630266389</c:v>
                </c:pt>
                <c:pt idx="4">
                  <c:v>1297.9339234178121</c:v>
                </c:pt>
                <c:pt idx="5">
                  <c:v>1291.6136138462932</c:v>
                </c:pt>
                <c:pt idx="6">
                  <c:v>1283.3878507492666</c:v>
                </c:pt>
                <c:pt idx="7">
                  <c:v>1267.1467544622117</c:v>
                </c:pt>
                <c:pt idx="8">
                  <c:v>1270.5719424392232</c:v>
                </c:pt>
                <c:pt idx="9">
                  <c:v>1277.7250914381668</c:v>
                </c:pt>
                <c:pt idx="10">
                  <c:v>1261.3656336288311</c:v>
                </c:pt>
                <c:pt idx="11">
                  <c:v>1277.9490061537185</c:v>
                </c:pt>
                <c:pt idx="12">
                  <c:v>1343.9006842798146</c:v>
                </c:pt>
                <c:pt idx="13">
                  <c:v>1345.8799336158997</c:v>
                </c:pt>
                <c:pt idx="14">
                  <c:v>1322.311526598804</c:v>
                </c:pt>
                <c:pt idx="15">
                  <c:v>1302.3120664496394</c:v>
                </c:pt>
                <c:pt idx="16">
                  <c:v>1311.5935928865222</c:v>
                </c:pt>
                <c:pt idx="17">
                  <c:v>1321.9668185370838</c:v>
                </c:pt>
                <c:pt idx="18">
                  <c:v>1313.8190963033503</c:v>
                </c:pt>
                <c:pt idx="19">
                  <c:v>1307.6655284097949</c:v>
                </c:pt>
                <c:pt idx="20">
                  <c:v>1327.2494303585802</c:v>
                </c:pt>
                <c:pt idx="21">
                  <c:v>1318.0908779234549</c:v>
                </c:pt>
                <c:pt idx="22">
                  <c:v>1315.082443551898</c:v>
                </c:pt>
                <c:pt idx="23">
                  <c:v>1336.2892727908309</c:v>
                </c:pt>
                <c:pt idx="24">
                  <c:v>741.21945108764112</c:v>
                </c:pt>
                <c:pt idx="25">
                  <c:v>745.06106555425583</c:v>
                </c:pt>
                <c:pt idx="26">
                  <c:v>739.95814009841536</c:v>
                </c:pt>
                <c:pt idx="27">
                  <c:v>751.72707534974427</c:v>
                </c:pt>
                <c:pt idx="28">
                  <c:v>1289.1332439871339</c:v>
                </c:pt>
                <c:pt idx="29">
                  <c:v>1328.771085231419</c:v>
                </c:pt>
                <c:pt idx="30">
                  <c:v>1263.1355788624348</c:v>
                </c:pt>
                <c:pt idx="31">
                  <c:v>1308.2156895568025</c:v>
                </c:pt>
                <c:pt idx="32">
                  <c:v>1257.4577000000002</c:v>
                </c:pt>
                <c:pt idx="33">
                  <c:v>1251.4433999999999</c:v>
                </c:pt>
                <c:pt idx="34">
                  <c:v>1243.9134000000001</c:v>
                </c:pt>
                <c:pt idx="35">
                  <c:v>1243.7271999999998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1-4263-97E6-A38AECA0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783936"/>
        <c:axId val="1060784896"/>
      </c:scatterChart>
      <c:valAx>
        <c:axId val="106078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84896"/>
        <c:crosses val="autoZero"/>
        <c:crossBetween val="midCat"/>
      </c:valAx>
      <c:valAx>
        <c:axId val="10607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8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Forecasting_Deseasonalised!$B$1</c:f>
              <c:strCache>
                <c:ptCount val="1"/>
                <c:pt idx="0">
                  <c:v>CerealSales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Forecasting_Deseasonalised!$B$2:$B$49</c:f>
              <c:numCache>
                <c:formatCode>0</c:formatCode>
                <c:ptCount val="48"/>
                <c:pt idx="0">
                  <c:v>1298</c:v>
                </c:pt>
                <c:pt idx="1">
                  <c:v>1305</c:v>
                </c:pt>
                <c:pt idx="2">
                  <c:v>1355</c:v>
                </c:pt>
                <c:pt idx="3">
                  <c:v>1264</c:v>
                </c:pt>
                <c:pt idx="4">
                  <c:v>1351</c:v>
                </c:pt>
                <c:pt idx="5">
                  <c:v>1304</c:v>
                </c:pt>
                <c:pt idx="6">
                  <c:v>1330</c:v>
                </c:pt>
                <c:pt idx="7">
                  <c:v>1218</c:v>
                </c:pt>
                <c:pt idx="8">
                  <c:v>1275</c:v>
                </c:pt>
                <c:pt idx="9">
                  <c:v>1256</c:v>
                </c:pt>
                <c:pt idx="10">
                  <c:v>1280</c:v>
                </c:pt>
                <c:pt idx="11">
                  <c:v>1218</c:v>
                </c:pt>
                <c:pt idx="12">
                  <c:v>1554</c:v>
                </c:pt>
                <c:pt idx="13">
                  <c:v>1444</c:v>
                </c:pt>
                <c:pt idx="14">
                  <c:v>1324</c:v>
                </c:pt>
                <c:pt idx="15">
                  <c:v>1111</c:v>
                </c:pt>
                <c:pt idx="16">
                  <c:v>1374</c:v>
                </c:pt>
                <c:pt idx="17">
                  <c:v>1336</c:v>
                </c:pt>
                <c:pt idx="18">
                  <c:v>1313</c:v>
                </c:pt>
                <c:pt idx="19">
                  <c:v>1100</c:v>
                </c:pt>
                <c:pt idx="20">
                  <c:v>1281</c:v>
                </c:pt>
                <c:pt idx="21">
                  <c:v>1342</c:v>
                </c:pt>
                <c:pt idx="22">
                  <c:v>1355</c:v>
                </c:pt>
                <c:pt idx="23">
                  <c:v>1302</c:v>
                </c:pt>
                <c:pt idx="24">
                  <c:v>679</c:v>
                </c:pt>
                <c:pt idx="25">
                  <c:v>707</c:v>
                </c:pt>
                <c:pt idx="26">
                  <c:v>684</c:v>
                </c:pt>
                <c:pt idx="27">
                  <c:v>666</c:v>
                </c:pt>
                <c:pt idx="28">
                  <c:v>1372</c:v>
                </c:pt>
                <c:pt idx="29">
                  <c:v>1392</c:v>
                </c:pt>
                <c:pt idx="30">
                  <c:v>1370</c:v>
                </c:pt>
                <c:pt idx="31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1-407D-AFFC-C2A1AE02E853}"/>
            </c:ext>
          </c:extLst>
        </c:ser>
        <c:ser>
          <c:idx val="1"/>
          <c:order val="1"/>
          <c:tx>
            <c:strRef>
              <c:f>Forecasting_Deseasonalised!$C$1</c:f>
              <c:strCache>
                <c:ptCount val="1"/>
                <c:pt idx="0">
                  <c:v>Forecast(CerealSales)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Forecasting_Deseasonalised!$A$2:$A$49</c:f>
              <c:numCache>
                <c:formatCode>dd/mmm/yyyy</c:formatCode>
                <c:ptCount val="48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  <c:pt idx="23">
                  <c:v>44926</c:v>
                </c:pt>
                <c:pt idx="24">
                  <c:v>45016</c:v>
                </c:pt>
                <c:pt idx="25">
                  <c:v>45107</c:v>
                </c:pt>
                <c:pt idx="26">
                  <c:v>45199</c:v>
                </c:pt>
                <c:pt idx="27">
                  <c:v>45291</c:v>
                </c:pt>
                <c:pt idx="28">
                  <c:v>45382</c:v>
                </c:pt>
                <c:pt idx="29">
                  <c:v>45473</c:v>
                </c:pt>
                <c:pt idx="30">
                  <c:v>45565</c:v>
                </c:pt>
                <c:pt idx="31">
                  <c:v>45657</c:v>
                </c:pt>
                <c:pt idx="32">
                  <c:v>45747</c:v>
                </c:pt>
                <c:pt idx="33">
                  <c:v>45839</c:v>
                </c:pt>
                <c:pt idx="34">
                  <c:v>45931</c:v>
                </c:pt>
                <c:pt idx="35">
                  <c:v>46022</c:v>
                </c:pt>
                <c:pt idx="36">
                  <c:v>46112</c:v>
                </c:pt>
                <c:pt idx="37">
                  <c:v>46204</c:v>
                </c:pt>
                <c:pt idx="38">
                  <c:v>46296</c:v>
                </c:pt>
                <c:pt idx="39">
                  <c:v>46387</c:v>
                </c:pt>
                <c:pt idx="40">
                  <c:v>46477</c:v>
                </c:pt>
                <c:pt idx="41">
                  <c:v>46569</c:v>
                </c:pt>
                <c:pt idx="42">
                  <c:v>46661</c:v>
                </c:pt>
                <c:pt idx="43">
                  <c:v>46752</c:v>
                </c:pt>
                <c:pt idx="44">
                  <c:v>46843</c:v>
                </c:pt>
                <c:pt idx="45">
                  <c:v>46935</c:v>
                </c:pt>
                <c:pt idx="46">
                  <c:v>47027</c:v>
                </c:pt>
                <c:pt idx="47">
                  <c:v>47118</c:v>
                </c:pt>
              </c:numCache>
            </c:numRef>
          </c:cat>
          <c:val>
            <c:numRef>
              <c:f>Forecasting_Deseasonalised!$C$2:$C$49</c:f>
              <c:numCache>
                <c:formatCode>General</c:formatCode>
                <c:ptCount val="48"/>
                <c:pt idx="31" formatCode="0">
                  <c:v>1274</c:v>
                </c:pt>
                <c:pt idx="32" formatCode="0">
                  <c:v>1433.2840811969975</c:v>
                </c:pt>
                <c:pt idx="33" formatCode="0">
                  <c:v>1398.4894216205273</c:v>
                </c:pt>
                <c:pt idx="34" formatCode="0">
                  <c:v>1388.9855023174375</c:v>
                </c:pt>
                <c:pt idx="35" formatCode="0">
                  <c:v>1245.043122069796</c:v>
                </c:pt>
                <c:pt idx="36" formatCode="0">
                  <c:v>1465.2948817756835</c:v>
                </c:pt>
                <c:pt idx="37" formatCode="0">
                  <c:v>1394.998177630679</c:v>
                </c:pt>
                <c:pt idx="38" formatCode="0">
                  <c:v>1360.0361385723145</c:v>
                </c:pt>
                <c:pt idx="39" formatCode="0">
                  <c:v>1212.2787756598241</c:v>
                </c:pt>
                <c:pt idx="40" formatCode="0">
                  <c:v>1371.5628568568216</c:v>
                </c:pt>
                <c:pt idx="41" formatCode="0">
                  <c:v>1336.7681972803514</c:v>
                </c:pt>
                <c:pt idx="42" formatCode="0">
                  <c:v>1327.2642779772616</c:v>
                </c:pt>
                <c:pt idx="43" formatCode="0">
                  <c:v>1183.3218977296201</c:v>
                </c:pt>
                <c:pt idx="44" formatCode="0">
                  <c:v>1403.5736574355076</c:v>
                </c:pt>
                <c:pt idx="45" formatCode="0">
                  <c:v>1333.2769532905031</c:v>
                </c:pt>
                <c:pt idx="46" formatCode="0">
                  <c:v>1298.3149142321386</c:v>
                </c:pt>
                <c:pt idx="47" formatCode="0">
                  <c:v>1150.5575513196482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1-407D-AFFC-C2A1AE02E853}"/>
            </c:ext>
          </c:extLst>
        </c:ser>
        <c:ser>
          <c:idx val="2"/>
          <c:order val="2"/>
          <c:tx>
            <c:strRef>
              <c:f>Forecasting_Deseasonalised!$D$1</c:f>
              <c:strCache>
                <c:ptCount val="1"/>
                <c:pt idx="0">
                  <c:v>Lower Confidence Bound(CerealSales)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Forecasting_Deseasonalised!$A$2:$A$49</c:f>
              <c:numCache>
                <c:formatCode>dd/mmm/yyyy</c:formatCode>
                <c:ptCount val="48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  <c:pt idx="23">
                  <c:v>44926</c:v>
                </c:pt>
                <c:pt idx="24">
                  <c:v>45016</c:v>
                </c:pt>
                <c:pt idx="25">
                  <c:v>45107</c:v>
                </c:pt>
                <c:pt idx="26">
                  <c:v>45199</c:v>
                </c:pt>
                <c:pt idx="27">
                  <c:v>45291</c:v>
                </c:pt>
                <c:pt idx="28">
                  <c:v>45382</c:v>
                </c:pt>
                <c:pt idx="29">
                  <c:v>45473</c:v>
                </c:pt>
                <c:pt idx="30">
                  <c:v>45565</c:v>
                </c:pt>
                <c:pt idx="31">
                  <c:v>45657</c:v>
                </c:pt>
                <c:pt idx="32">
                  <c:v>45747</c:v>
                </c:pt>
                <c:pt idx="33">
                  <c:v>45839</c:v>
                </c:pt>
                <c:pt idx="34">
                  <c:v>45931</c:v>
                </c:pt>
                <c:pt idx="35">
                  <c:v>46022</c:v>
                </c:pt>
                <c:pt idx="36">
                  <c:v>46112</c:v>
                </c:pt>
                <c:pt idx="37">
                  <c:v>46204</c:v>
                </c:pt>
                <c:pt idx="38">
                  <c:v>46296</c:v>
                </c:pt>
                <c:pt idx="39">
                  <c:v>46387</c:v>
                </c:pt>
                <c:pt idx="40">
                  <c:v>46477</c:v>
                </c:pt>
                <c:pt idx="41">
                  <c:v>46569</c:v>
                </c:pt>
                <c:pt idx="42">
                  <c:v>46661</c:v>
                </c:pt>
                <c:pt idx="43">
                  <c:v>46752</c:v>
                </c:pt>
                <c:pt idx="44">
                  <c:v>46843</c:v>
                </c:pt>
                <c:pt idx="45">
                  <c:v>46935</c:v>
                </c:pt>
                <c:pt idx="46">
                  <c:v>47027</c:v>
                </c:pt>
                <c:pt idx="47">
                  <c:v>47118</c:v>
                </c:pt>
              </c:numCache>
            </c:numRef>
          </c:cat>
          <c:val>
            <c:numRef>
              <c:f>Forecasting_Deseasonalised!$D$2:$D$49</c:f>
              <c:numCache>
                <c:formatCode>General</c:formatCode>
                <c:ptCount val="48"/>
                <c:pt idx="31" formatCode="0">
                  <c:v>1274</c:v>
                </c:pt>
                <c:pt idx="32" formatCode="0">
                  <c:v>1071.8527873168116</c:v>
                </c:pt>
                <c:pt idx="33" formatCode="0">
                  <c:v>887.60389054336042</c:v>
                </c:pt>
                <c:pt idx="34" formatCode="0">
                  <c:v>763.17674074573813</c:v>
                </c:pt>
                <c:pt idx="35" formatCode="0">
                  <c:v>522.18035359380008</c:v>
                </c:pt>
                <c:pt idx="36" formatCode="0">
                  <c:v>656.78624539893383</c:v>
                </c:pt>
                <c:pt idx="37" formatCode="0">
                  <c:v>508.9373634276734</c:v>
                </c:pt>
                <c:pt idx="38" formatCode="0">
                  <c:v>402.54801988631789</c:v>
                </c:pt>
                <c:pt idx="39" formatCode="0">
                  <c:v>188.20569758520833</c:v>
                </c:pt>
                <c:pt idx="40" formatCode="0">
                  <c:v>284.735590658418</c:v>
                </c:pt>
                <c:pt idx="41" formatCode="0">
                  <c:v>190.61753359456293</c:v>
                </c:pt>
                <c:pt idx="42" formatCode="0">
                  <c:v>124.60372494014405</c:v>
                </c:pt>
                <c:pt idx="43" formatCode="0">
                  <c:v>-73.414730888314807</c:v>
                </c:pt>
                <c:pt idx="44" formatCode="0">
                  <c:v>94.892929080491285</c:v>
                </c:pt>
                <c:pt idx="45" formatCode="0">
                  <c:v>-25.460531387914898</c:v>
                </c:pt>
                <c:pt idx="46" formatCode="0">
                  <c:v>-108.79351282044286</c:v>
                </c:pt>
                <c:pt idx="47" formatCode="0">
                  <c:v>-303.4043565959073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1-407D-AFFC-C2A1AE02E853}"/>
            </c:ext>
          </c:extLst>
        </c:ser>
        <c:ser>
          <c:idx val="3"/>
          <c:order val="3"/>
          <c:tx>
            <c:strRef>
              <c:f>Forecasting_Deseasonalised!$E$1</c:f>
              <c:strCache>
                <c:ptCount val="1"/>
                <c:pt idx="0">
                  <c:v>Upper Confidence Bound(CerealSales)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Forecasting_Deseasonalised!$A$2:$A$49</c:f>
              <c:numCache>
                <c:formatCode>dd/mmm/yyyy</c:formatCode>
                <c:ptCount val="48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  <c:pt idx="23">
                  <c:v>44926</c:v>
                </c:pt>
                <c:pt idx="24">
                  <c:v>45016</c:v>
                </c:pt>
                <c:pt idx="25">
                  <c:v>45107</c:v>
                </c:pt>
                <c:pt idx="26">
                  <c:v>45199</c:v>
                </c:pt>
                <c:pt idx="27">
                  <c:v>45291</c:v>
                </c:pt>
                <c:pt idx="28">
                  <c:v>45382</c:v>
                </c:pt>
                <c:pt idx="29">
                  <c:v>45473</c:v>
                </c:pt>
                <c:pt idx="30">
                  <c:v>45565</c:v>
                </c:pt>
                <c:pt idx="31">
                  <c:v>45657</c:v>
                </c:pt>
                <c:pt idx="32">
                  <c:v>45747</c:v>
                </c:pt>
                <c:pt idx="33">
                  <c:v>45839</c:v>
                </c:pt>
                <c:pt idx="34">
                  <c:v>45931</c:v>
                </c:pt>
                <c:pt idx="35">
                  <c:v>46022</c:v>
                </c:pt>
                <c:pt idx="36">
                  <c:v>46112</c:v>
                </c:pt>
                <c:pt idx="37">
                  <c:v>46204</c:v>
                </c:pt>
                <c:pt idx="38">
                  <c:v>46296</c:v>
                </c:pt>
                <c:pt idx="39">
                  <c:v>46387</c:v>
                </c:pt>
                <c:pt idx="40">
                  <c:v>46477</c:v>
                </c:pt>
                <c:pt idx="41">
                  <c:v>46569</c:v>
                </c:pt>
                <c:pt idx="42">
                  <c:v>46661</c:v>
                </c:pt>
                <c:pt idx="43">
                  <c:v>46752</c:v>
                </c:pt>
                <c:pt idx="44">
                  <c:v>46843</c:v>
                </c:pt>
                <c:pt idx="45">
                  <c:v>46935</c:v>
                </c:pt>
                <c:pt idx="46">
                  <c:v>47027</c:v>
                </c:pt>
                <c:pt idx="47">
                  <c:v>47118</c:v>
                </c:pt>
              </c:numCache>
            </c:numRef>
          </c:cat>
          <c:val>
            <c:numRef>
              <c:f>Forecasting_Deseasonalised!$E$2:$E$49</c:f>
              <c:numCache>
                <c:formatCode>General</c:formatCode>
                <c:ptCount val="48"/>
                <c:pt idx="31" formatCode="0">
                  <c:v>1274</c:v>
                </c:pt>
                <c:pt idx="32" formatCode="0">
                  <c:v>1794.7153750771834</c:v>
                </c:pt>
                <c:pt idx="33" formatCode="0">
                  <c:v>1909.3749526976942</c:v>
                </c:pt>
                <c:pt idx="34" formatCode="0">
                  <c:v>2014.7942638891368</c:v>
                </c:pt>
                <c:pt idx="35" formatCode="0">
                  <c:v>1967.9058905457919</c:v>
                </c:pt>
                <c:pt idx="36" formatCode="0">
                  <c:v>2273.8035181524333</c:v>
                </c:pt>
                <c:pt idx="37" formatCode="0">
                  <c:v>2281.0589918336846</c:v>
                </c:pt>
                <c:pt idx="38" formatCode="0">
                  <c:v>2317.5242572583111</c:v>
                </c:pt>
                <c:pt idx="39" formatCode="0">
                  <c:v>2236.3518537344398</c:v>
                </c:pt>
                <c:pt idx="40" formatCode="0">
                  <c:v>2458.3901230552251</c:v>
                </c:pt>
                <c:pt idx="41" formatCode="0">
                  <c:v>2482.9188609661396</c:v>
                </c:pt>
                <c:pt idx="42" formatCode="0">
                  <c:v>2529.9248310143794</c:v>
                </c:pt>
                <c:pt idx="43" formatCode="0">
                  <c:v>2440.058526347555</c:v>
                </c:pt>
                <c:pt idx="44" formatCode="0">
                  <c:v>2712.2543857905239</c:v>
                </c:pt>
                <c:pt idx="45" formatCode="0">
                  <c:v>2692.0144379689209</c:v>
                </c:pt>
                <c:pt idx="46" formatCode="0">
                  <c:v>2705.4233412847198</c:v>
                </c:pt>
                <c:pt idx="47" formatCode="0">
                  <c:v>2604.5194592352036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21-407D-AFFC-C2A1AE02E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908048"/>
        <c:axId val="1408913808"/>
      </c:lineChart>
      <c:catAx>
        <c:axId val="1408908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13808"/>
        <c:crosses val="autoZero"/>
        <c:auto val="1"/>
        <c:lblAlgn val="ctr"/>
        <c:lblOffset val="100"/>
        <c:noMultiLvlLbl val="0"/>
      </c:catAx>
      <c:valAx>
        <c:axId val="14089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Kellogg Product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KelloggCustomers_ProductType_20!$A$2</c:f>
              <c:strCache>
                <c:ptCount val="1"/>
                <c:pt idx="0">
                  <c:v>Any Kelloggs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KelloggCustomers_ProductType_20!$B$2</c:f>
              <c:numCache>
                <c:formatCode>#,##0.00</c:formatCode>
                <c:ptCount val="1"/>
                <c:pt idx="0">
                  <c:v>13498.9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7-4041-AB55-8D056C9C9A1A}"/>
            </c:ext>
          </c:extLst>
        </c:ser>
        <c:ser>
          <c:idx val="1"/>
          <c:order val="1"/>
          <c:tx>
            <c:strRef>
              <c:f>KelloggCustomers_ProductType_20!$A$3</c:f>
              <c:strCache>
                <c:ptCount val="1"/>
                <c:pt idx="0">
                  <c:v>Kelloggs Corn Flakes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KelloggCustomers_ProductType_20!$B$3</c:f>
              <c:numCache>
                <c:formatCode>#,##0.00</c:formatCode>
                <c:ptCount val="1"/>
                <c:pt idx="0">
                  <c:v>4583.1000000000004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7-4041-AB55-8D056C9C9A1A}"/>
            </c:ext>
          </c:extLst>
        </c:ser>
        <c:ser>
          <c:idx val="2"/>
          <c:order val="2"/>
          <c:tx>
            <c:strRef>
              <c:f>KelloggCustomers_ProductType_20!$A$4</c:f>
              <c:strCache>
                <c:ptCount val="1"/>
                <c:pt idx="0">
                  <c:v>Kelloggs Crunchy Nut Flakes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KelloggCustomers_ProductType_20!$B$4</c:f>
              <c:numCache>
                <c:formatCode>#,##0.00</c:formatCode>
                <c:ptCount val="1"/>
                <c:pt idx="0">
                  <c:v>3656.9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7-4041-AB55-8D056C9C9A1A}"/>
            </c:ext>
          </c:extLst>
        </c:ser>
        <c:ser>
          <c:idx val="3"/>
          <c:order val="3"/>
          <c:tx>
            <c:strRef>
              <c:f>KelloggCustomers_ProductType_20!$A$5</c:f>
              <c:strCache>
                <c:ptCount val="1"/>
                <c:pt idx="0">
                  <c:v>Kelloggs Rice Krispies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KelloggCustomers_ProductType_20!$B$5</c:f>
              <c:numCache>
                <c:formatCode>#,##0</c:formatCode>
                <c:ptCount val="1"/>
                <c:pt idx="0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7-4041-AB55-8D056C9C9A1A}"/>
            </c:ext>
          </c:extLst>
        </c:ser>
        <c:ser>
          <c:idx val="4"/>
          <c:order val="4"/>
          <c:tx>
            <c:strRef>
              <c:f>KelloggCustomers_ProductType_20!$A$6</c:f>
              <c:strCache>
                <c:ptCount val="1"/>
                <c:pt idx="0">
                  <c:v>Kelloggs Frosties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KelloggCustomers_ProductType_20!$B$6</c:f>
              <c:numCache>
                <c:formatCode>#,##0.00</c:formatCode>
                <c:ptCount val="1"/>
                <c:pt idx="0">
                  <c:v>2598.3000000000002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7-4041-AB55-8D056C9C9A1A}"/>
            </c:ext>
          </c:extLst>
        </c:ser>
        <c:ser>
          <c:idx val="5"/>
          <c:order val="5"/>
          <c:tx>
            <c:strRef>
              <c:f>KelloggCustomers_ProductType_20!$A$7</c:f>
              <c:strCache>
                <c:ptCount val="1"/>
                <c:pt idx="0">
                  <c:v>Kelloggs Coco Pops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KelloggCustomers_ProductType_20!$B$7</c:f>
              <c:numCache>
                <c:formatCode>#,##0.00</c:formatCode>
                <c:ptCount val="1"/>
                <c:pt idx="0">
                  <c:v>2389.4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77-4041-AB55-8D056C9C9A1A}"/>
            </c:ext>
          </c:extLst>
        </c:ser>
        <c:ser>
          <c:idx val="6"/>
          <c:order val="6"/>
          <c:tx>
            <c:strRef>
              <c:f>KelloggCustomers_ProductType_20!$A$8</c:f>
              <c:strCache>
                <c:ptCount val="1"/>
                <c:pt idx="0">
                  <c:v>Kelloggs Special K Original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KelloggCustomers_ProductType_20!$B$8</c:f>
              <c:numCache>
                <c:formatCode>#,##0.00</c:formatCode>
                <c:ptCount val="1"/>
                <c:pt idx="0">
                  <c:v>1844.8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77-4041-AB55-8D056C9C9A1A}"/>
            </c:ext>
          </c:extLst>
        </c:ser>
        <c:ser>
          <c:idx val="7"/>
          <c:order val="7"/>
          <c:tx>
            <c:strRef>
              <c:f>KelloggCustomers_ProductType_20!$A$9</c:f>
              <c:strCache>
                <c:ptCount val="1"/>
                <c:pt idx="0">
                  <c:v>Kelloggs Bran Flakes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KelloggCustomers_ProductType_20!$B$9</c:f>
              <c:numCache>
                <c:formatCode>#,##0.00</c:formatCode>
                <c:ptCount val="1"/>
                <c:pt idx="0">
                  <c:v>1754.7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77-4041-AB55-8D056C9C9A1A}"/>
            </c:ext>
          </c:extLst>
        </c:ser>
        <c:ser>
          <c:idx val="8"/>
          <c:order val="8"/>
          <c:tx>
            <c:strRef>
              <c:f>KelloggCustomers_ProductType_20!$A$10</c:f>
              <c:strCache>
                <c:ptCount val="1"/>
                <c:pt idx="0">
                  <c:v>Kelloggs Fruit 'N Fibre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KelloggCustomers_ProductType_20!$B$10</c:f>
              <c:numCache>
                <c:formatCode>#,##0.00</c:formatCode>
                <c:ptCount val="1"/>
                <c:pt idx="0">
                  <c:v>1647.7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77-4041-AB55-8D056C9C9A1A}"/>
            </c:ext>
          </c:extLst>
        </c:ser>
        <c:ser>
          <c:idx val="9"/>
          <c:order val="9"/>
          <c:tx>
            <c:strRef>
              <c:f>KelloggCustomers_ProductType_20!$A$11</c:f>
              <c:strCache>
                <c:ptCount val="1"/>
                <c:pt idx="0">
                  <c:v>Kelloggs Krave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KelloggCustomers_ProductType_20!$B$11</c:f>
              <c:numCache>
                <c:formatCode>#,##0.00</c:formatCode>
                <c:ptCount val="1"/>
                <c:pt idx="0">
                  <c:v>1285.0999999999999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77-4041-AB55-8D056C9C9A1A}"/>
            </c:ext>
          </c:extLst>
        </c:ser>
        <c:ser>
          <c:idx val="10"/>
          <c:order val="10"/>
          <c:tx>
            <c:strRef>
              <c:f>KelloggCustomers_ProductType_20!$A$12</c:f>
              <c:strCache>
                <c:ptCount val="1"/>
                <c:pt idx="0">
                  <c:v>Kelloggs All-Bran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KelloggCustomers_ProductType_20!$B$12</c:f>
              <c:numCache>
                <c:formatCode>#,##0.00</c:formatCode>
                <c:ptCount val="1"/>
                <c:pt idx="0">
                  <c:v>1115.0999999999999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77-4041-AB55-8D056C9C9A1A}"/>
            </c:ext>
          </c:extLst>
        </c:ser>
        <c:ser>
          <c:idx val="11"/>
          <c:order val="11"/>
          <c:tx>
            <c:strRef>
              <c:f>KelloggCustomers_ProductType_20!$A$13</c:f>
              <c:strCache>
                <c:ptCount val="1"/>
                <c:pt idx="0">
                  <c:v>Kelloggs Crunchy Nut Clusters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KelloggCustomers_ProductType_20!$B$13</c:f>
              <c:numCache>
                <c:formatCode>#,##0</c:formatCode>
                <c:ptCount val="1"/>
                <c:pt idx="0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077-4041-AB55-8D056C9C9A1A}"/>
            </c:ext>
          </c:extLst>
        </c:ser>
        <c:ser>
          <c:idx val="12"/>
          <c:order val="12"/>
          <c:tx>
            <c:strRef>
              <c:f>KelloggCustomers_ProductType_20!$A$14</c:f>
              <c:strCache>
                <c:ptCount val="1"/>
                <c:pt idx="0">
                  <c:v>Kelloggs Other Special 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KelloggCustomers_ProductType_20!$B$14</c:f>
              <c:numCache>
                <c:formatCode>#,##0.00</c:formatCode>
                <c:ptCount val="1"/>
                <c:pt idx="0">
                  <c:v>997.5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77-4041-AB55-8D056C9C9A1A}"/>
            </c:ext>
          </c:extLst>
        </c:ser>
        <c:ser>
          <c:idx val="13"/>
          <c:order val="13"/>
          <c:tx>
            <c:strRef>
              <c:f>KelloggCustomers_ProductType_20!$A$15</c:f>
              <c:strCache>
                <c:ptCount val="1"/>
                <c:pt idx="0">
                  <c:v>Other Kelloggs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KelloggCustomers_ProductType_20!$B$15</c:f>
              <c:numCache>
                <c:formatCode>#,##0.00</c:formatCode>
                <c:ptCount val="1"/>
                <c:pt idx="0">
                  <c:v>971.7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077-4041-AB55-8D056C9C9A1A}"/>
            </c:ext>
          </c:extLst>
        </c:ser>
        <c:ser>
          <c:idx val="14"/>
          <c:order val="14"/>
          <c:tx>
            <c:strRef>
              <c:f>KelloggCustomers_ProductType_20!$A$16</c:f>
              <c:strCache>
                <c:ptCount val="1"/>
                <c:pt idx="0">
                  <c:v>Kelloggs Honey Loops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KelloggCustomers_ProductType_20!$B$16</c:f>
              <c:numCache>
                <c:formatCode>#,##0.00</c:formatCode>
                <c:ptCount val="1"/>
                <c:pt idx="0">
                  <c:v>849.5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77-4041-AB55-8D056C9C9A1A}"/>
            </c:ext>
          </c:extLst>
        </c:ser>
        <c:ser>
          <c:idx val="15"/>
          <c:order val="15"/>
          <c:tx>
            <c:strRef>
              <c:f>KelloggCustomers_ProductType_20!$A$17</c:f>
              <c:strCache>
                <c:ptCount val="1"/>
                <c:pt idx="0">
                  <c:v>Kelloggs Sultana Bran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KelloggCustomers_ProductType_20!$B$17</c:f>
              <c:numCache>
                <c:formatCode>#,##0.00</c:formatCode>
                <c:ptCount val="1"/>
                <c:pt idx="0">
                  <c:v>661.9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077-4041-AB55-8D056C9C9A1A}"/>
            </c:ext>
          </c:extLst>
        </c:ser>
        <c:ser>
          <c:idx val="16"/>
          <c:order val="16"/>
          <c:tx>
            <c:strRef>
              <c:f>KelloggCustomers_ProductType_20!$A$18</c:f>
              <c:strCache>
                <c:ptCount val="1"/>
                <c:pt idx="0">
                  <c:v>Kelloggs Frosted Wheat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KelloggCustomers_ProductType_20!$B$18</c:f>
              <c:numCache>
                <c:formatCode>#,##0.00</c:formatCode>
                <c:ptCount val="1"/>
                <c:pt idx="0">
                  <c:v>656.1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077-4041-AB55-8D056C9C9A1A}"/>
            </c:ext>
          </c:extLst>
        </c:ser>
        <c:ser>
          <c:idx val="17"/>
          <c:order val="17"/>
          <c:tx>
            <c:strRef>
              <c:f>KelloggCustomers_ProductType_20!$A$19</c:f>
              <c:strCache>
                <c:ptCount val="1"/>
                <c:pt idx="0">
                  <c:v>Kelloggs Variety Pack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KelloggCustomers_ProductType_20!$B$19</c:f>
              <c:numCache>
                <c:formatCode>#,##0.00</c:formatCode>
                <c:ptCount val="1"/>
                <c:pt idx="0">
                  <c:v>502.4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077-4041-AB55-8D056C9C9A1A}"/>
            </c:ext>
          </c:extLst>
        </c:ser>
        <c:ser>
          <c:idx val="18"/>
          <c:order val="18"/>
          <c:tx>
            <c:strRef>
              <c:f>KelloggCustomers_ProductType_20!$A$20</c:f>
              <c:strCache>
                <c:ptCount val="1"/>
                <c:pt idx="0">
                  <c:v>Kelloggs Crunchy Nut Bites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KelloggCustomers_ProductType_20!$B$1</c:f>
              <c:strCache>
                <c:ptCount val="1"/>
                <c:pt idx="0">
                  <c:v>Customer(1000's)</c:v>
                </c:pt>
              </c:strCache>
            </c:strRef>
          </c:cat>
          <c:val>
            <c:numRef>
              <c:f>KelloggCustomers_ProductType_20!$B$20</c:f>
              <c:numCache>
                <c:formatCode>#,##0</c:formatCode>
                <c:ptCount val="1"/>
                <c:pt idx="0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077-4041-AB55-8D056C9C9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59167"/>
        <c:axId val="75952447"/>
      </c:barChart>
      <c:catAx>
        <c:axId val="7595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2447"/>
        <c:crosses val="autoZero"/>
        <c:auto val="1"/>
        <c:lblAlgn val="ctr"/>
        <c:lblOffset val="100"/>
        <c:noMultiLvlLbl val="0"/>
      </c:catAx>
      <c:valAx>
        <c:axId val="759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[KelloggOverall_Quaterly.xlsx]Customers!PivotTable12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Customers!$A$4:$A$21</c:f>
              <c:strCache>
                <c:ptCount val="17"/>
                <c:pt idx="0">
                  <c:v>Aldi</c:v>
                </c:pt>
                <c:pt idx="1">
                  <c:v>Alpen</c:v>
                </c:pt>
                <c:pt idx="2">
                  <c:v>Asda</c:v>
                </c:pt>
                <c:pt idx="3">
                  <c:v>Big Bear</c:v>
                </c:pt>
                <c:pt idx="4">
                  <c:v>Dorset </c:v>
                </c:pt>
                <c:pt idx="5">
                  <c:v>Hero</c:v>
                </c:pt>
                <c:pt idx="6">
                  <c:v>Jordans</c:v>
                </c:pt>
                <c:pt idx="7">
                  <c:v>Kelloggs</c:v>
                </c:pt>
                <c:pt idx="8">
                  <c:v>Lidl</c:v>
                </c:pt>
                <c:pt idx="9">
                  <c:v>Morrisons</c:v>
                </c:pt>
                <c:pt idx="10">
                  <c:v>Nestle</c:v>
                </c:pt>
                <c:pt idx="11">
                  <c:v>Oatbix</c:v>
                </c:pt>
                <c:pt idx="12">
                  <c:v>Quaker</c:v>
                </c:pt>
                <c:pt idx="13">
                  <c:v>Sainsbury</c:v>
                </c:pt>
                <c:pt idx="14">
                  <c:v>Scotch</c:v>
                </c:pt>
                <c:pt idx="15">
                  <c:v>Tesco</c:v>
                </c:pt>
                <c:pt idx="16">
                  <c:v>Weetabix</c:v>
                </c:pt>
              </c:strCache>
            </c:strRef>
          </c:cat>
          <c:val>
            <c:numRef>
              <c:f>Customers!$B$4:$B$21</c:f>
              <c:numCache>
                <c:formatCode>#,##0.00</c:formatCode>
                <c:ptCount val="17"/>
                <c:pt idx="0">
                  <c:v>3428.79</c:v>
                </c:pt>
                <c:pt idx="1">
                  <c:v>3663.45</c:v>
                </c:pt>
                <c:pt idx="2">
                  <c:v>3885.68</c:v>
                </c:pt>
                <c:pt idx="3">
                  <c:v>920.28</c:v>
                </c:pt>
                <c:pt idx="4">
                  <c:v>1553.64</c:v>
                </c:pt>
                <c:pt idx="5">
                  <c:v>420.17</c:v>
                </c:pt>
                <c:pt idx="6">
                  <c:v>4148.67</c:v>
                </c:pt>
                <c:pt idx="7">
                  <c:v>37615.240000000005</c:v>
                </c:pt>
                <c:pt idx="8">
                  <c:v>3046.63</c:v>
                </c:pt>
                <c:pt idx="9">
                  <c:v>1194.67</c:v>
                </c:pt>
                <c:pt idx="10">
                  <c:v>19270.539999999997</c:v>
                </c:pt>
                <c:pt idx="11">
                  <c:v>1014.88</c:v>
                </c:pt>
                <c:pt idx="12">
                  <c:v>10713.53</c:v>
                </c:pt>
                <c:pt idx="13">
                  <c:v>3023.76</c:v>
                </c:pt>
                <c:pt idx="14">
                  <c:v>2531.06</c:v>
                </c:pt>
                <c:pt idx="15">
                  <c:v>6159.7500000000009</c:v>
                </c:pt>
                <c:pt idx="16">
                  <c:v>11214.81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3-4101-86E8-B6ECA3A7E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649168"/>
        <c:axId val="969648208"/>
      </c:barChart>
      <c:catAx>
        <c:axId val="9696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48208"/>
        <c:crosses val="autoZero"/>
        <c:auto val="1"/>
        <c:lblAlgn val="ctr"/>
        <c:lblOffset val="100"/>
        <c:noMultiLvlLbl val="0"/>
      </c:catAx>
      <c:valAx>
        <c:axId val="9696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[KelloggOverall_Quaterly.xlsx]ProductsVariety!PivotTable13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3352660814305429E-2"/>
              <c:y val="1.55865412656751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1325246715294614E-2"/>
              <c:y val="-0.132231335666375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692982964758272E-2"/>
              <c:y val="-0.137646544181977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707786526684151E-2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ProductsVariety!$B$3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081-48AD-A65C-ABBB6033A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081-48AD-A65C-ABBB6033A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081-48AD-A65C-ABBB6033A705}"/>
              </c:ext>
            </c:extLst>
          </c:dPt>
          <c:dLbls>
            <c:dLbl>
              <c:idx val="0"/>
              <c:layout>
                <c:manualLayout>
                  <c:x val="-1.4692982964758272E-2"/>
                  <c:y val="-0.137646544181977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081-48AD-A65C-ABBB6033A705}"/>
                </c:ext>
              </c:extLst>
            </c:dLbl>
            <c:dLbl>
              <c:idx val="1"/>
              <c:layout>
                <c:manualLayout>
                  <c:x val="-2.1325246715294614E-2"/>
                  <c:y val="-0.1322313356663750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081-48AD-A65C-ABBB6033A705}"/>
                </c:ext>
              </c:extLst>
            </c:dLbl>
            <c:dLbl>
              <c:idx val="2"/>
              <c:layout>
                <c:manualLayout>
                  <c:x val="2.3352660814305429E-2"/>
                  <c:y val="1.55865412656751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081-48AD-A65C-ABBB6033A7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ProductsVariety!$A$4:$A$7</c:f>
              <c:strCache>
                <c:ptCount val="3"/>
                <c:pt idx="0">
                  <c:v>Kelloggs</c:v>
                </c:pt>
                <c:pt idx="1">
                  <c:v>Nestle</c:v>
                </c:pt>
                <c:pt idx="2">
                  <c:v>Weetabix</c:v>
                </c:pt>
              </c:strCache>
            </c:strRef>
          </c:cat>
          <c:val>
            <c:numRef>
              <c:f>ProductsVariety!$B$4:$B$7</c:f>
              <c:numCache>
                <c:formatCode>General</c:formatCode>
                <c:ptCount val="3"/>
                <c:pt idx="0">
                  <c:v>17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81-48AD-A65C-ABBB6033A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Cereal Sales vs Company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Company_Cereal_Sales!$H$1</c:f>
              <c:strCache>
                <c:ptCount val="1"/>
                <c:pt idx="0">
                  <c:v>Company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Company_Cereal_Sales!$G$2:$G$38</c:f>
              <c:numCache>
                <c:formatCode>General</c:formatCode>
                <c:ptCount val="3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</c:numCache>
            </c:numRef>
          </c:cat>
          <c:val>
            <c:numRef>
              <c:f>Company_Cereal_Sales!$H$2:$H$38</c:f>
              <c:numCache>
                <c:formatCode>General</c:formatCode>
                <c:ptCount val="33"/>
                <c:pt idx="1">
                  <c:v>3248</c:v>
                </c:pt>
                <c:pt idx="2">
                  <c:v>3175</c:v>
                </c:pt>
                <c:pt idx="3">
                  <c:v>3246</c:v>
                </c:pt>
                <c:pt idx="4">
                  <c:v>3185</c:v>
                </c:pt>
                <c:pt idx="5">
                  <c:v>3401</c:v>
                </c:pt>
                <c:pt idx="6">
                  <c:v>3360</c:v>
                </c:pt>
                <c:pt idx="7">
                  <c:v>3469</c:v>
                </c:pt>
                <c:pt idx="8">
                  <c:v>3317</c:v>
                </c:pt>
                <c:pt idx="9">
                  <c:v>3522</c:v>
                </c:pt>
                <c:pt idx="10">
                  <c:v>3461</c:v>
                </c:pt>
                <c:pt idx="11">
                  <c:v>3372</c:v>
                </c:pt>
                <c:pt idx="12">
                  <c:v>3223</c:v>
                </c:pt>
                <c:pt idx="13">
                  <c:v>3412</c:v>
                </c:pt>
                <c:pt idx="14">
                  <c:v>3465</c:v>
                </c:pt>
                <c:pt idx="15">
                  <c:v>3429</c:v>
                </c:pt>
                <c:pt idx="16">
                  <c:v>3464</c:v>
                </c:pt>
                <c:pt idx="17">
                  <c:v>3584</c:v>
                </c:pt>
                <c:pt idx="18">
                  <c:v>3555</c:v>
                </c:pt>
                <c:pt idx="19">
                  <c:v>3622</c:v>
                </c:pt>
                <c:pt idx="20">
                  <c:v>3419</c:v>
                </c:pt>
                <c:pt idx="21">
                  <c:v>3672</c:v>
                </c:pt>
                <c:pt idx="22">
                  <c:v>3864</c:v>
                </c:pt>
                <c:pt idx="23">
                  <c:v>3946</c:v>
                </c:pt>
                <c:pt idx="24">
                  <c:v>3838</c:v>
                </c:pt>
                <c:pt idx="25">
                  <c:v>4053</c:v>
                </c:pt>
                <c:pt idx="26">
                  <c:v>4041</c:v>
                </c:pt>
                <c:pt idx="27">
                  <c:v>3939</c:v>
                </c:pt>
                <c:pt idx="28">
                  <c:v>1087</c:v>
                </c:pt>
                <c:pt idx="29" formatCode="0">
                  <c:v>3898</c:v>
                </c:pt>
                <c:pt idx="30" formatCode="0">
                  <c:v>3864</c:v>
                </c:pt>
                <c:pt idx="31" formatCode="0">
                  <c:v>3931</c:v>
                </c:pt>
                <c:pt idx="32" formatCode="0">
                  <c:v>3765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3-41E3-80C8-8A40E5B34502}"/>
            </c:ext>
          </c:extLst>
        </c:ser>
        <c:ser>
          <c:idx val="1"/>
          <c:order val="1"/>
          <c:tx>
            <c:strRef>
              <c:f>Company_Cereal_Sales!$J$1</c:f>
              <c:strCache>
                <c:ptCount val="1"/>
                <c:pt idx="0">
                  <c:v>Cereal Sales(mn)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Company_Cereal_Sales!$G$2:$G$38</c:f>
              <c:numCache>
                <c:formatCode>General</c:formatCode>
                <c:ptCount val="3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</c:numCache>
            </c:numRef>
          </c:cat>
          <c:val>
            <c:numRef>
              <c:f>Company_Cereal_Sales!$J$2:$J$38</c:f>
              <c:numCache>
                <c:formatCode>General</c:formatCode>
                <c:ptCount val="33"/>
                <c:pt idx="1">
                  <c:v>1298</c:v>
                </c:pt>
                <c:pt idx="2">
                  <c:v>1305</c:v>
                </c:pt>
                <c:pt idx="3">
                  <c:v>1355</c:v>
                </c:pt>
                <c:pt idx="4">
                  <c:v>1264</c:v>
                </c:pt>
                <c:pt idx="5">
                  <c:v>1351</c:v>
                </c:pt>
                <c:pt idx="6">
                  <c:v>1304</c:v>
                </c:pt>
                <c:pt idx="7">
                  <c:v>1330</c:v>
                </c:pt>
                <c:pt idx="8">
                  <c:v>1218</c:v>
                </c:pt>
                <c:pt idx="9">
                  <c:v>1275</c:v>
                </c:pt>
                <c:pt idx="10">
                  <c:v>1256</c:v>
                </c:pt>
                <c:pt idx="11">
                  <c:v>1280</c:v>
                </c:pt>
                <c:pt idx="12">
                  <c:v>1218</c:v>
                </c:pt>
                <c:pt idx="13">
                  <c:v>1554</c:v>
                </c:pt>
                <c:pt idx="14">
                  <c:v>1444</c:v>
                </c:pt>
                <c:pt idx="15">
                  <c:v>1324</c:v>
                </c:pt>
                <c:pt idx="16">
                  <c:v>1111</c:v>
                </c:pt>
                <c:pt idx="17">
                  <c:v>1374</c:v>
                </c:pt>
                <c:pt idx="18">
                  <c:v>1336</c:v>
                </c:pt>
                <c:pt idx="19">
                  <c:v>1313</c:v>
                </c:pt>
                <c:pt idx="20">
                  <c:v>1100</c:v>
                </c:pt>
                <c:pt idx="21">
                  <c:v>1281</c:v>
                </c:pt>
                <c:pt idx="22">
                  <c:v>1342</c:v>
                </c:pt>
                <c:pt idx="23">
                  <c:v>1355</c:v>
                </c:pt>
                <c:pt idx="24">
                  <c:v>1302</c:v>
                </c:pt>
                <c:pt idx="25">
                  <c:v>679</c:v>
                </c:pt>
                <c:pt idx="26">
                  <c:v>707</c:v>
                </c:pt>
                <c:pt idx="27">
                  <c:v>684</c:v>
                </c:pt>
                <c:pt idx="28">
                  <c:v>666</c:v>
                </c:pt>
                <c:pt idx="29" formatCode="0">
                  <c:v>1372</c:v>
                </c:pt>
                <c:pt idx="30" formatCode="0">
                  <c:v>1392</c:v>
                </c:pt>
                <c:pt idx="31" formatCode="0">
                  <c:v>1370</c:v>
                </c:pt>
                <c:pt idx="32" formatCode="0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3-41E3-80C8-8A40E5B3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661264"/>
        <c:axId val="931662704"/>
      </c:lineChart>
      <c:catAx>
        <c:axId val="9316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2704"/>
        <c:crosses val="autoZero"/>
        <c:auto val="1"/>
        <c:lblAlgn val="ctr"/>
        <c:lblOffset val="100"/>
        <c:noMultiLvlLbl val="0"/>
      </c:catAx>
      <c:valAx>
        <c:axId val="9316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1</xdr:row>
      <xdr:rowOff>19050</xdr:rowOff>
    </xdr:from>
    <xdr:to>
      <xdr:col>14</xdr:col>
      <xdr:colOff>463550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31ACB-4C34-7634-F5CC-2E7A91AB8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784224</xdr:colOff>
      <xdr:row>6</xdr:row>
      <xdr:rowOff>69850</xdr:rowOff>
    </xdr:from>
    <xdr:to>
      <xdr:col>14</xdr:col>
      <xdr:colOff>958850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73F77-5F19-45CF-B55D-4C1EE93E3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593725</xdr:colOff>
      <xdr:row>2</xdr:row>
      <xdr:rowOff>158750</xdr:rowOff>
    </xdr:from>
    <xdr:to>
      <xdr:col>36</xdr:col>
      <xdr:colOff>288925</xdr:colOff>
      <xdr:row>17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4DCB40-81AC-2435-9027-55C99CC50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180975</xdr:colOff>
      <xdr:row>27</xdr:row>
      <xdr:rowOff>19050</xdr:rowOff>
    </xdr:from>
    <xdr:to>
      <xdr:col>21</xdr:col>
      <xdr:colOff>98425</xdr:colOff>
      <xdr:row>42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6E3A7C-232D-D415-AD7A-D858D7CD7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66675</xdr:colOff>
      <xdr:row>27</xdr:row>
      <xdr:rowOff>19050</xdr:rowOff>
    </xdr:from>
    <xdr:to>
      <xdr:col>28</xdr:col>
      <xdr:colOff>117475</xdr:colOff>
      <xdr:row>42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84A781-9CDA-3E34-ED6A-D729D2BF3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295275</xdr:colOff>
      <xdr:row>37</xdr:row>
      <xdr:rowOff>82550</xdr:rowOff>
    </xdr:from>
    <xdr:to>
      <xdr:col>22</xdr:col>
      <xdr:colOff>695325</xdr:colOff>
      <xdr:row>52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8B1EBE-AED8-0883-11C9-81662B811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568325</xdr:colOff>
      <xdr:row>36</xdr:row>
      <xdr:rowOff>139700</xdr:rowOff>
    </xdr:from>
    <xdr:to>
      <xdr:col>15</xdr:col>
      <xdr:colOff>485775</xdr:colOff>
      <xdr:row>51</xdr:row>
      <xdr:rowOff>120650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430607-9B61-0709-C879-637D0E0D7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454025</xdr:colOff>
      <xdr:row>2</xdr:row>
      <xdr:rowOff>82550</xdr:rowOff>
    </xdr:from>
    <xdr:to>
      <xdr:col>12</xdr:col>
      <xdr:colOff>581025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2273A-BA92-4F02-A134-CFEE731CA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82550</xdr:rowOff>
    </xdr:from>
    <xdr:to>
      <xdr:col>10</xdr:col>
      <xdr:colOff>428625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EF253-A01E-AE98-EAC7-3EA963B85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7AC74-4CB2-0BE9-3559-B7FA325B0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2</xdr:row>
      <xdr:rowOff>82550</xdr:rowOff>
    </xdr:from>
    <xdr:to>
      <xdr:col>6</xdr:col>
      <xdr:colOff>317500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A71CF-6EBC-D309-C086-733E7F814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26</xdr:row>
      <xdr:rowOff>6350</xdr:rowOff>
    </xdr:from>
    <xdr:to>
      <xdr:col>14</xdr:col>
      <xdr:colOff>882650</xdr:colOff>
      <xdr:row>47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4BDD60-DCCB-3D0A-AE1C-09BCB4EFE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ika gour" refreshedDate="45953.549693171299" createdVersion="8" refreshedVersion="8" minRefreshableVersion="3" recordCount="60" xr:uid="{562246E9-2870-4F87-A92E-0ACF89F5A51D}">
  <cacheSource type="worksheet">
    <worksheetSource ref="A1:C61" sheet="Brands_Customers_2023"/>
  </cacheSource>
  <cacheFields count="3">
    <cacheField name="Brands" numFmtId="0">
      <sharedItems count="17">
        <s v="Kelloggs"/>
        <s v="Nestle"/>
        <s v="Tesco"/>
        <s v="Alpen"/>
        <s v="Weetabix"/>
        <s v="Morrisons"/>
        <s v="Asda"/>
        <s v="Jordans"/>
        <s v="Sainsbury"/>
        <s v="Oatbix"/>
        <s v="Hero"/>
        <s v="Scotch"/>
        <s v="Big Bear"/>
        <s v="Dorset "/>
        <s v="Quaker"/>
        <s v="Aldi"/>
        <s v="Lidl"/>
      </sharedItems>
    </cacheField>
    <cacheField name="Products" numFmtId="0">
      <sharedItems count="60">
        <s v="Kelloggs Corn Flakes"/>
        <s v="Kelloggs Crunchy Nut Flakes"/>
        <s v="Kelloggs Rice Krispies"/>
        <s v="Kelloggs Coco Pops"/>
        <s v="Kelloggs Frosties"/>
        <s v="Kelloggs Special K Original"/>
        <s v="Kelloggs Bran Flakes"/>
        <s v="Kelloggs Fruit 'N Fibre"/>
        <s v="Kelloggs Crunchy Nut Clusters"/>
        <s v="Kelloggs All-Bran"/>
        <s v="Kelloggs Other Special K"/>
        <s v="Kelloggs Honey Loops"/>
        <s v="Kelloggs Krave"/>
        <s v="Kelloggs Variety Pack"/>
        <s v="Kelloggs Frosted Wheat"/>
        <s v="Kelloggs Sultana Bran"/>
        <s v="Kelloggs Crunchy Nut Bites"/>
        <s v="Nestlé Shredded Wheat (Original)"/>
        <s v="Nestlé Cheerios"/>
        <s v="Nestlé Shreddies"/>
        <s v="Nestlé Bitesize Shredded Wheat"/>
        <s v="Nestlé Curiously Cinnamon"/>
        <s v="Nestlé Cookie Crisp"/>
        <s v="Nestlé Nesquik"/>
        <s v="Nestlé Coco Shreddies"/>
        <s v="Nestlé Other Shredded Wheat"/>
        <s v="Nestlé Honey Cheerios"/>
        <s v="Nestlé Frosted Shreddies"/>
        <s v="Tesco Corn Flakes"/>
        <s v="Tesco Muesli"/>
        <s v="Ready Brek"/>
        <s v="Tesco Wheat Biscuits"/>
        <s v="Alpen No Added Sugar"/>
        <s v="Alpen Original"/>
        <s v="Weetabix Chocolate"/>
        <s v="Weetabix Minis"/>
        <s v="Weetabix Original"/>
        <s v="Weetos"/>
        <s v="Weetabix Chocolate Melts"/>
        <s v="Morrisons"/>
        <s v="Asda Muesli"/>
        <s v="Asda Corn Flakes"/>
        <s v="Asda Wheat Biscuits"/>
        <s v="Jordans Porridge Oats"/>
        <s v="Jordans Muesli"/>
        <s v="Jordans Country Crisp"/>
        <s v="Sainsbury's Wheat Biscuits"/>
        <s v="Sainsbury's Muesli"/>
        <s v="Sainsbury's Cornflakes"/>
        <s v="Oatibix Flakes"/>
        <s v="Oatibix"/>
        <s v="Deliciously Ella"/>
        <s v="Scott's Porage Oats"/>
        <s v="Honey Monster Puffs"/>
        <s v="Dorset Cereals"/>
        <s v="Oats (Original)"/>
        <s v="Quaker Oats So Simple"/>
        <s v="Quaker Oats Granola"/>
        <s v="Aldi"/>
        <s v="Lidl"/>
      </sharedItems>
    </cacheField>
    <cacheField name="Consumers(in 1000s)" numFmtId="4">
      <sharedItems containsSemiMixedTypes="0" containsString="0" containsNumber="1" minValue="366.68" maxValue="7873.13" count="60">
        <n v="5615.56"/>
        <n v="4700.57"/>
        <n v="4421.24"/>
        <n v="3442.1"/>
        <n v="3318.49"/>
        <n v="2268.25"/>
        <n v="2106.73"/>
        <n v="2012.49"/>
        <n v="1354.01"/>
        <n v="1346.81"/>
        <n v="1269.8399999999999"/>
        <n v="1168.78"/>
        <n v="1826.05"/>
        <n v="861.62"/>
        <n v="826.52"/>
        <n v="709.5"/>
        <n v="366.68"/>
        <n v="2716.08"/>
        <n v="3556.67"/>
        <n v="2623.32"/>
        <n v="1837.09"/>
        <n v="1223.72"/>
        <n v="1189.79"/>
        <n v="1099.5999999999999"/>
        <n v="1074.73"/>
        <n v="656.59"/>
        <n v="1706.83"/>
        <n v="1586.12"/>
        <n v="1919.14"/>
        <n v="1028.8699999999999"/>
        <n v="1745.35"/>
        <n v="1466.39"/>
        <n v="1615.23"/>
        <n v="2048.2199999999998"/>
        <n v="1216.93"/>
        <n v="1195.53"/>
        <n v="7873.13"/>
        <n v="522.13"/>
        <n v="407.09"/>
        <n v="1194.67"/>
        <n v="958.79"/>
        <n v="2028.35"/>
        <n v="898.54"/>
        <n v="1691.47"/>
        <n v="957.92"/>
        <n v="1499.28"/>
        <n v="905.77"/>
        <n v="880.38"/>
        <n v="1237.6099999999999"/>
        <n v="461.52"/>
        <n v="553.36"/>
        <n v="420.17"/>
        <n v="2531.06"/>
        <n v="920.28"/>
        <n v="1553.64"/>
        <n v="5205.04"/>
        <n v="4743.12"/>
        <n v="765.37"/>
        <n v="3428.79"/>
        <n v="3046.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rika gour" refreshedDate="45954.633510648149" createdVersion="8" refreshedVersion="8" minRefreshableVersion="3" recordCount="32" xr:uid="{AEE03D74-EA71-4723-904C-E4C31D29F328}">
  <cacheSource type="worksheet">
    <worksheetSource ref="A1:G33" sheet="KelloggSPSS_Data_Seasonality"/>
  </cacheSource>
  <cacheFields count="7">
    <cacheField name="Quarter" numFmtId="1">
      <sharedItems containsSemiMixedTypes="0" containsString="0" containsNumber="1" containsInteger="1" minValue="1" maxValue="32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</sharedItems>
    </cacheField>
    <cacheField name="CerealSales" numFmtId="1">
      <sharedItems containsSemiMixedTypes="0" containsString="0" containsNumber="1" containsInteger="1" minValue="666" maxValue="1554"/>
    </cacheField>
    <cacheField name="Pricing" numFmtId="165">
      <sharedItems containsSemiMixedTypes="0" containsString="0" containsNumber="1" minValue="0.8" maxValue="7.2"/>
    </cacheField>
    <cacheField name="Volume" numFmtId="165">
      <sharedItems containsSemiMixedTypes="0" containsString="0" containsNumber="1" minValue="-6" maxValue="6.2"/>
    </cacheField>
    <cacheField name="CerealOpertngProfit" numFmtId="2">
      <sharedItems containsSemiMixedTypes="0" containsString="0" containsNumber="1" minValue="16.650000000000002" maxValue="73.641333333333336"/>
    </cacheField>
    <cacheField name="CerealCoGS" numFmtId="2">
      <sharedItems containsSemiMixedTypes="0" containsString="0" containsNumber="1" minValue="35.127439024390249" maxValue="620.87082352941172"/>
    </cacheField>
    <cacheField name="CerealAdvtCost" numFmtId="2">
      <sharedItems containsSemiMixedTypes="0" containsString="0" containsNumber="1" minValue="32.132469512195122" maxValue="95.4762352941176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1"/>
    <x v="17"/>
    <x v="17"/>
  </r>
  <r>
    <x v="1"/>
    <x v="18"/>
    <x v="18"/>
  </r>
  <r>
    <x v="1"/>
    <x v="19"/>
    <x v="19"/>
  </r>
  <r>
    <x v="1"/>
    <x v="20"/>
    <x v="20"/>
  </r>
  <r>
    <x v="1"/>
    <x v="21"/>
    <x v="21"/>
  </r>
  <r>
    <x v="1"/>
    <x v="22"/>
    <x v="22"/>
  </r>
  <r>
    <x v="1"/>
    <x v="23"/>
    <x v="23"/>
  </r>
  <r>
    <x v="1"/>
    <x v="24"/>
    <x v="24"/>
  </r>
  <r>
    <x v="1"/>
    <x v="25"/>
    <x v="25"/>
  </r>
  <r>
    <x v="1"/>
    <x v="26"/>
    <x v="26"/>
  </r>
  <r>
    <x v="1"/>
    <x v="27"/>
    <x v="27"/>
  </r>
  <r>
    <x v="2"/>
    <x v="28"/>
    <x v="28"/>
  </r>
  <r>
    <x v="2"/>
    <x v="29"/>
    <x v="29"/>
  </r>
  <r>
    <x v="2"/>
    <x v="30"/>
    <x v="30"/>
  </r>
  <r>
    <x v="2"/>
    <x v="31"/>
    <x v="31"/>
  </r>
  <r>
    <x v="3"/>
    <x v="32"/>
    <x v="32"/>
  </r>
  <r>
    <x v="3"/>
    <x v="33"/>
    <x v="33"/>
  </r>
  <r>
    <x v="4"/>
    <x v="34"/>
    <x v="34"/>
  </r>
  <r>
    <x v="4"/>
    <x v="35"/>
    <x v="35"/>
  </r>
  <r>
    <x v="4"/>
    <x v="36"/>
    <x v="36"/>
  </r>
  <r>
    <x v="4"/>
    <x v="37"/>
    <x v="37"/>
  </r>
  <r>
    <x v="4"/>
    <x v="38"/>
    <x v="38"/>
  </r>
  <r>
    <x v="5"/>
    <x v="39"/>
    <x v="39"/>
  </r>
  <r>
    <x v="6"/>
    <x v="40"/>
    <x v="40"/>
  </r>
  <r>
    <x v="6"/>
    <x v="41"/>
    <x v="41"/>
  </r>
  <r>
    <x v="6"/>
    <x v="42"/>
    <x v="42"/>
  </r>
  <r>
    <x v="7"/>
    <x v="43"/>
    <x v="43"/>
  </r>
  <r>
    <x v="7"/>
    <x v="44"/>
    <x v="44"/>
  </r>
  <r>
    <x v="7"/>
    <x v="45"/>
    <x v="45"/>
  </r>
  <r>
    <x v="8"/>
    <x v="46"/>
    <x v="46"/>
  </r>
  <r>
    <x v="8"/>
    <x v="47"/>
    <x v="47"/>
  </r>
  <r>
    <x v="8"/>
    <x v="48"/>
    <x v="48"/>
  </r>
  <r>
    <x v="9"/>
    <x v="49"/>
    <x v="49"/>
  </r>
  <r>
    <x v="9"/>
    <x v="50"/>
    <x v="50"/>
  </r>
  <r>
    <x v="10"/>
    <x v="51"/>
    <x v="51"/>
  </r>
  <r>
    <x v="11"/>
    <x v="52"/>
    <x v="52"/>
  </r>
  <r>
    <x v="12"/>
    <x v="53"/>
    <x v="53"/>
  </r>
  <r>
    <x v="13"/>
    <x v="54"/>
    <x v="54"/>
  </r>
  <r>
    <x v="14"/>
    <x v="55"/>
    <x v="55"/>
  </r>
  <r>
    <x v="14"/>
    <x v="56"/>
    <x v="56"/>
  </r>
  <r>
    <x v="14"/>
    <x v="57"/>
    <x v="57"/>
  </r>
  <r>
    <x v="15"/>
    <x v="58"/>
    <x v="58"/>
  </r>
  <r>
    <x v="16"/>
    <x v="59"/>
    <x v="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298"/>
    <n v="1.2"/>
    <n v="-0.5"/>
    <n v="28.274467091955813"/>
    <n v="210.84674031429907"/>
    <n v="73.917535397541627"/>
  </r>
  <r>
    <x v="1"/>
    <n v="1305"/>
    <n v="1"/>
    <n v="-0.8"/>
    <n v="39.087054613349927"/>
    <n v="197.97339349618795"/>
    <n v="74.316166173953633"/>
  </r>
  <r>
    <x v="2"/>
    <n v="1355"/>
    <n v="0.9"/>
    <n v="-1.1000000000000001"/>
    <n v="35.10308075307298"/>
    <n v="218.62999844406411"/>
    <n v="77.163528862610875"/>
  </r>
  <r>
    <x v="3"/>
    <n v="1264"/>
    <n v="1.3"/>
    <n v="-0.6"/>
    <n v="38.252372802240551"/>
    <n v="176.11825112805352"/>
    <n v="71.981328769254702"/>
  </r>
  <r>
    <x v="4"/>
    <n v="1351"/>
    <n v="0.8"/>
    <n v="-1.5"/>
    <n v="50.860707167638587"/>
    <n v="214.31305824167711"/>
    <n v="74.9946113530671"/>
  </r>
  <r>
    <x v="5"/>
    <n v="1304"/>
    <n v="1.1000000000000001"/>
    <n v="-2"/>
    <n v="45.62604266627298"/>
    <n v="207.04982652985902"/>
    <n v="72.385620432568103"/>
  </r>
  <r>
    <x v="6"/>
    <n v="1330"/>
    <n v="1.4"/>
    <n v="-2.2999999999999998"/>
    <n v="38.877980364656381"/>
    <n v="225.11921458625525"/>
    <n v="73.828892005610101"/>
  </r>
  <r>
    <x v="7"/>
    <n v="1218"/>
    <n v="1.6"/>
    <n v="-1.9"/>
    <n v="29.310400826751309"/>
    <n v="200.31770871779727"/>
    <n v="67.61172215250609"/>
  </r>
  <r>
    <x v="8"/>
    <n v="1275"/>
    <n v="1.7"/>
    <n v="-2.5"/>
    <n v="35.776623950508174"/>
    <n v="226.77308882015024"/>
    <n v="63.477684489615555"/>
  </r>
  <r>
    <x v="9"/>
    <n v="1256"/>
    <n v="2"/>
    <n v="-3"/>
    <n v="36.723523346590071"/>
    <n v="210.44336426572397"/>
    <n v="62.531742524672261"/>
  </r>
  <r>
    <x v="10"/>
    <n v="1280"/>
    <n v="2.2999999999999998"/>
    <n v="-2.8"/>
    <n v="24.793047576962735"/>
    <n v="223.60877890705555"/>
    <n v="63.726616585653268"/>
  </r>
  <r>
    <x v="11"/>
    <n v="1218"/>
    <n v="2.5"/>
    <n v="-2.2000000000000002"/>
    <n v="32.293415819708351"/>
    <n v="191.51789659743704"/>
    <n v="60.639858594785686"/>
  </r>
  <r>
    <x v="12"/>
    <n v="1554"/>
    <n v="3.5"/>
    <n v="5.8"/>
    <n v="51.800000000000004"/>
    <n v="255.9529411764706"/>
    <n v="88.13899782135077"/>
  </r>
  <r>
    <x v="13"/>
    <n v="1444"/>
    <n v="3.8"/>
    <n v="6.2"/>
    <n v="53.06201888162672"/>
    <n v="237.83529411764704"/>
    <n v="81.900072621641243"/>
  </r>
  <r>
    <x v="14"/>
    <n v="1324"/>
    <n v="4"/>
    <n v="5.5"/>
    <n v="39.518082788671023"/>
    <n v="214.2245461147422"/>
    <n v="75.093972403776334"/>
  </r>
  <r>
    <x v="15"/>
    <n v="1111"/>
    <n v="4.2"/>
    <n v="4.9000000000000004"/>
    <n v="31.062817719680464"/>
    <n v="183.8757443718228"/>
    <n v="63.013144517066081"/>
  </r>
  <r>
    <x v="16"/>
    <n v="1374"/>
    <n v="4.5"/>
    <n v="-1.2"/>
    <n v="45.735401974612138"/>
    <n v="234.2970380818054"/>
    <n v="52.421297602256708"/>
  </r>
  <r>
    <x v="17"/>
    <n v="1336"/>
    <n v="5"/>
    <n v="-1.5"/>
    <n v="47.485472496473911"/>
    <n v="219.62031029619183"/>
    <n v="50.971509167842036"/>
  </r>
  <r>
    <x v="18"/>
    <n v="1313"/>
    <n v="5.3"/>
    <n v="-2"/>
    <n v="41.390056417489426"/>
    <n v="227.50641748942172"/>
    <n v="50.094005641748943"/>
  </r>
  <r>
    <x v="19"/>
    <n v="1100"/>
    <n v="5.5"/>
    <n v="-2.2999999999999998"/>
    <n v="25.521861777150917"/>
    <n v="56.086036671368127"/>
    <n v="41.967559943582515"/>
  </r>
  <r>
    <x v="20"/>
    <n v="1281"/>
    <n v="6.2"/>
    <n v="-3.5"/>
    <n v="43.229569190600515"/>
    <n v="210.12748041775455"/>
    <n v="45.905287206266316"/>
  </r>
  <r>
    <x v="21"/>
    <n v="1342"/>
    <n v="6.5"/>
    <n v="-4"/>
    <n v="36.353133159268928"/>
    <n v="238.35391644908617"/>
    <n v="48.091253263707571"/>
  </r>
  <r>
    <x v="22"/>
    <n v="1355"/>
    <n v="6.8"/>
    <n v="-4.2"/>
    <n v="32.548302872062663"/>
    <n v="247.03100522193211"/>
    <n v="48.557114882506525"/>
  </r>
  <r>
    <x v="23"/>
    <n v="1302"/>
    <n v="7"/>
    <n v="-3.8"/>
    <n v="28.470626631853786"/>
    <n v="69.264360313315933"/>
    <n v="46.657832898172323"/>
  </r>
  <r>
    <x v="24"/>
    <n v="679"/>
    <n v="7.2"/>
    <n v="-4.5"/>
    <n v="17.90655487804878"/>
    <n v="147.13391768292684"/>
    <n v="32.759679878048786"/>
  </r>
  <r>
    <x v="25"/>
    <n v="707"/>
    <n v="6.8"/>
    <n v="-5.0999999999999996"/>
    <n v="22.470960365853657"/>
    <n v="145.92652439024391"/>
    <n v="34.110594512195121"/>
  </r>
  <r>
    <x v="26"/>
    <n v="684"/>
    <n v="6.5"/>
    <n v="-5.8"/>
    <n v="21.583536585365856"/>
    <n v="135.34024390243903"/>
    <n v="33.000914634146348"/>
  </r>
  <r>
    <x v="27"/>
    <n v="666"/>
    <n v="6.9"/>
    <n v="-6"/>
    <n v="16.650000000000002"/>
    <n v="35.127439024390249"/>
    <n v="32.132469512195122"/>
  </r>
  <r>
    <x v="28"/>
    <n v="1372"/>
    <n v="4.2"/>
    <n v="-3.2"/>
    <n v="49.175764705882358"/>
    <n v="620.87082352941172"/>
    <n v="84.107529411764716"/>
  </r>
  <r>
    <x v="29"/>
    <n v="1392"/>
    <n v="3.9"/>
    <n v="-2.8"/>
    <n v="73.641333333333336"/>
    <n v="585.7536470588235"/>
    <n v="82.206823529411764"/>
  </r>
  <r>
    <x v="30"/>
    <n v="1370"/>
    <n v="3.8"/>
    <n v="-2.5"/>
    <n v="36.677647058823524"/>
    <n v="606.31999999999994"/>
    <n v="82.256470588235288"/>
  </r>
  <r>
    <x v="31"/>
    <n v="1274"/>
    <n v="3.8"/>
    <n v="-5.6"/>
    <n v="48.404235294117647"/>
    <n v="536.81552941176471"/>
    <n v="95.476235294117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F2E57-1614-40BE-B97D-14C0022FBC58}" name="PivotTable39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36" firstHeaderRow="0" firstDataRow="1" firstDataCol="1"/>
  <pivotFields count="7"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umFmtId="1" showAll="0"/>
    <pivotField numFmtId="165" showAll="0"/>
    <pivotField numFmtId="165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erealCoGS" fld="5" baseField="0" baseItem="0" numFmtId="2"/>
    <dataField name="Sum of CerealOpertngProfit" fld="4" baseField="0" baseItem="0" numFmtId="2"/>
    <dataField name="Sum of CerealAdvtCost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F03C3-299C-4927-BFFD-A4A14F1D4CDD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1" firstHeaderRow="1" firstDataRow="1" firstDataCol="1"/>
  <pivotFields count="3">
    <pivotField axis="axisRow" showAll="0">
      <items count="18">
        <item x="15"/>
        <item x="3"/>
        <item x="6"/>
        <item x="12"/>
        <item x="13"/>
        <item x="10"/>
        <item x="7"/>
        <item x="0"/>
        <item x="16"/>
        <item x="5"/>
        <item x="1"/>
        <item x="9"/>
        <item x="14"/>
        <item x="8"/>
        <item x="11"/>
        <item x="2"/>
        <item x="4"/>
        <item t="default"/>
      </items>
    </pivotField>
    <pivotField showAll="0"/>
    <pivotField dataField="1" numFmtId="4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Consumers(in 1000s)" fld="2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7C3F1-30A1-48CC-AFB6-97E9AA9EC77B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3">
    <pivotField axis="axisRow" showAll="0">
      <items count="18">
        <item h="1" x="15"/>
        <item h="1" x="3"/>
        <item h="1" x="6"/>
        <item h="1" x="12"/>
        <item h="1" x="13"/>
        <item h="1" x="10"/>
        <item h="1" x="7"/>
        <item x="0"/>
        <item h="1" x="16"/>
        <item h="1" x="5"/>
        <item x="1"/>
        <item h="1" x="9"/>
        <item h="1" x="14"/>
        <item h="1" x="8"/>
        <item h="1" x="11"/>
        <item h="1" x="2"/>
        <item x="4"/>
        <item t="default"/>
      </items>
    </pivotField>
    <pivotField dataField="1" showAll="0">
      <items count="61">
        <item h="1" x="58"/>
        <item h="1" x="32"/>
        <item h="1" x="33"/>
        <item h="1" x="41"/>
        <item h="1" x="40"/>
        <item h="1" x="42"/>
        <item h="1" x="51"/>
        <item h="1" x="54"/>
        <item h="1" x="53"/>
        <item h="1" x="45"/>
        <item h="1" x="44"/>
        <item h="1" x="43"/>
        <item x="9"/>
        <item x="6"/>
        <item x="3"/>
        <item x="0"/>
        <item x="16"/>
        <item x="8"/>
        <item x="1"/>
        <item x="14"/>
        <item x="4"/>
        <item x="7"/>
        <item x="11"/>
        <item x="12"/>
        <item x="10"/>
        <item x="2"/>
        <item x="5"/>
        <item x="15"/>
        <item x="13"/>
        <item h="1" x="59"/>
        <item h="1" x="39"/>
        <item h="1" x="20"/>
        <item h="1" x="18"/>
        <item h="1" x="24"/>
        <item h="1" x="22"/>
        <item h="1" x="21"/>
        <item h="1" x="27"/>
        <item h="1" x="26"/>
        <item h="1" x="23"/>
        <item h="1" x="25"/>
        <item h="1" x="17"/>
        <item h="1" x="19"/>
        <item h="1" x="50"/>
        <item h="1" x="49"/>
        <item h="1" x="55"/>
        <item h="1" x="57"/>
        <item h="1" x="56"/>
        <item h="1" x="30"/>
        <item h="1" x="48"/>
        <item h="1" x="47"/>
        <item h="1" x="46"/>
        <item h="1" x="52"/>
        <item h="1" x="28"/>
        <item h="1" x="29"/>
        <item h="1" x="31"/>
        <item h="1" x="34"/>
        <item h="1" x="38"/>
        <item h="1" x="35"/>
        <item h="1" x="36"/>
        <item h="1" x="37"/>
        <item t="default"/>
      </items>
    </pivotField>
    <pivotField numFmtId="4" showAll="0">
      <items count="61">
        <item x="16"/>
        <item x="38"/>
        <item x="51"/>
        <item x="49"/>
        <item x="37"/>
        <item x="50"/>
        <item x="25"/>
        <item x="15"/>
        <item x="57"/>
        <item x="14"/>
        <item x="13"/>
        <item x="47"/>
        <item x="42"/>
        <item x="46"/>
        <item x="53"/>
        <item x="44"/>
        <item x="40"/>
        <item x="29"/>
        <item x="24"/>
        <item x="23"/>
        <item x="11"/>
        <item x="22"/>
        <item x="39"/>
        <item x="35"/>
        <item x="34"/>
        <item x="21"/>
        <item x="48"/>
        <item x="10"/>
        <item x="9"/>
        <item x="8"/>
        <item x="31"/>
        <item x="45"/>
        <item x="54"/>
        <item x="27"/>
        <item x="32"/>
        <item x="43"/>
        <item x="26"/>
        <item x="30"/>
        <item x="12"/>
        <item x="20"/>
        <item x="28"/>
        <item x="7"/>
        <item x="41"/>
        <item x="33"/>
        <item x="6"/>
        <item x="5"/>
        <item x="52"/>
        <item x="19"/>
        <item x="17"/>
        <item x="59"/>
        <item x="4"/>
        <item x="58"/>
        <item x="3"/>
        <item x="18"/>
        <item x="2"/>
        <item x="1"/>
        <item x="56"/>
        <item x="55"/>
        <item x="0"/>
        <item x="36"/>
        <item t="default"/>
      </items>
    </pivotField>
  </pivotFields>
  <rowFields count="1">
    <field x="0"/>
  </rowFields>
  <rowItems count="4">
    <i>
      <x v="7"/>
    </i>
    <i>
      <x v="10"/>
    </i>
    <i>
      <x v="16"/>
    </i>
    <i t="grand">
      <x/>
    </i>
  </rowItems>
  <colItems count="1">
    <i/>
  </colItems>
  <dataFields count="1">
    <dataField name="Count of Products" fld="1" subtotal="count" baseField="0" baseItem="15"/>
  </dataFields>
  <chartFormats count="4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0E3C9-9780-4335-8633-B4634756046C}" name="Table2" displayName="Table2" ref="A1:E49" totalsRowShown="0">
  <autoFilter ref="A1:E49" xr:uid="{5C5EF37B-C7BE-440C-B70F-51DDC6DE6121}"/>
  <tableColumns count="5">
    <tableColumn id="1" xr3:uid="{ACC2C698-7673-4AE1-9F04-656A7C143005}" name="Quarter" dataDxfId="3"/>
    <tableColumn id="2" xr3:uid="{4C286385-D3A3-4314-80DE-46043F343F86}" name="CerealSales"/>
    <tableColumn id="3" xr3:uid="{7DACC54A-0CEE-4633-B955-63AEF5F40862}" name="Forecast(CerealSales)" dataDxfId="2">
      <calculatedColumnFormula>_xlfn.FORECAST.ETS(A2,$B$2:$B$33,$A$2:$A$33,1,1)</calculatedColumnFormula>
    </tableColumn>
    <tableColumn id="4" xr3:uid="{119F4C1B-4C41-41A0-805B-A19806BC4AEA}" name="Lower Confidence Bound(CerealSales)" dataDxfId="1">
      <calculatedColumnFormula>C2-_xlfn.FORECAST.ETS.CONFINT(A2,$B$2:$B$33,$A$2:$A$33,0.95,1,1)</calculatedColumnFormula>
    </tableColumn>
    <tableColumn id="5" xr3:uid="{C28FC7B1-51E3-4963-9AB7-665959ADFCE7}" name="Upper Confidence Bound(CerealSales)" dataDxfId="0">
      <calculatedColumnFormula>C2+_xlfn.FORECAST.ETS.CONFINT(A2,$B$2:$B$33,$A$2:$A$33,0.95,1,1)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C561-63E0-41E5-AA5E-C90F29E523F7}">
  <dimension ref="A1:Q81"/>
  <sheetViews>
    <sheetView tabSelected="1" workbookViewId="0">
      <pane ySplit="1" topLeftCell="A9" activePane="bottomLeft" state="frozen"/>
      <selection pane="bottomLeft" activeCell="S16" sqref="S16"/>
    </sheetView>
  </sheetViews>
  <sheetFormatPr defaultRowHeight="15.5" thickTop="1" thickBottom="1" x14ac:dyDescent="0.4"/>
  <cols>
    <col min="1" max="1" width="14.90625" style="9" bestFit="1" customWidth="1"/>
    <col min="2" max="2" width="9.54296875" style="9" bestFit="1" customWidth="1"/>
    <col min="3" max="3" width="18.08984375" style="9" bestFit="1" customWidth="1"/>
    <col min="4" max="4" width="15.6328125" style="9" bestFit="1" customWidth="1"/>
    <col min="5" max="5" width="12.7265625" style="9" bestFit="1" customWidth="1"/>
    <col min="6" max="6" width="12" style="6" bestFit="1" customWidth="1"/>
    <col min="7" max="7" width="7.08984375" style="6" bestFit="1" customWidth="1"/>
    <col min="8" max="8" width="13.81640625" style="6" bestFit="1" customWidth="1"/>
    <col min="9" max="9" width="18.08984375" style="6" bestFit="1" customWidth="1"/>
    <col min="10" max="10" width="15.26953125" style="6" bestFit="1" customWidth="1"/>
    <col min="11" max="11" width="9.7265625" style="8" bestFit="1" customWidth="1"/>
    <col min="12" max="13" width="9.7265625" style="23" customWidth="1"/>
    <col min="14" max="14" width="12.6328125" style="6" bestFit="1" customWidth="1"/>
    <col min="15" max="15" width="24" style="6" bestFit="1" customWidth="1"/>
    <col min="16" max="16" width="11.26953125" style="6" bestFit="1" customWidth="1"/>
    <col min="17" max="17" width="14.6328125" style="6" bestFit="1" customWidth="1"/>
    <col min="18" max="16384" width="8.7265625" style="6"/>
  </cols>
  <sheetData>
    <row r="1" spans="1:17" customFormat="1" thickTop="1" thickBot="1" x14ac:dyDescent="0.4">
      <c r="A1" s="17" t="s">
        <v>28</v>
      </c>
      <c r="B1" s="16" t="s">
        <v>97</v>
      </c>
      <c r="C1" s="17" t="s">
        <v>98</v>
      </c>
      <c r="D1" s="17" t="s">
        <v>99</v>
      </c>
      <c r="E1" s="17" t="s">
        <v>103</v>
      </c>
      <c r="F1" s="17" t="s">
        <v>107</v>
      </c>
      <c r="G1" s="17" t="s">
        <v>95</v>
      </c>
      <c r="H1" s="17" t="s">
        <v>106</v>
      </c>
      <c r="I1" s="15" t="s">
        <v>98</v>
      </c>
      <c r="J1" s="15" t="s">
        <v>100</v>
      </c>
      <c r="K1" s="21" t="s">
        <v>101</v>
      </c>
      <c r="L1" s="21" t="s">
        <v>111</v>
      </c>
      <c r="M1" s="21" t="s">
        <v>112</v>
      </c>
      <c r="N1" s="17" t="s">
        <v>96</v>
      </c>
      <c r="O1" s="17" t="s">
        <v>102</v>
      </c>
      <c r="P1" s="17" t="s">
        <v>104</v>
      </c>
      <c r="Q1" s="17" t="s">
        <v>105</v>
      </c>
    </row>
    <row r="2" spans="1:17" thickTop="1" thickBot="1" x14ac:dyDescent="0.4">
      <c r="A2" s="10"/>
      <c r="B2" s="11"/>
      <c r="C2" s="10"/>
      <c r="D2" s="10"/>
      <c r="E2" s="10"/>
      <c r="F2" s="10"/>
      <c r="G2" s="10"/>
      <c r="H2" s="11"/>
      <c r="I2" s="10"/>
      <c r="J2" s="10"/>
      <c r="K2" s="19"/>
      <c r="N2" s="11"/>
      <c r="O2" s="18"/>
      <c r="P2" s="18"/>
      <c r="Q2" s="18"/>
    </row>
    <row r="3" spans="1:17" ht="14.5" customHeight="1" thickTop="1" thickBot="1" x14ac:dyDescent="0.4">
      <c r="A3" s="25" t="s">
        <v>89</v>
      </c>
      <c r="B3" s="24">
        <v>12.853999999999999</v>
      </c>
      <c r="C3" s="27">
        <v>1387</v>
      </c>
      <c r="D3" s="27">
        <v>5222</v>
      </c>
      <c r="E3" s="27">
        <v>732</v>
      </c>
      <c r="F3" s="27">
        <v>8155</v>
      </c>
      <c r="G3" s="10" t="s">
        <v>91</v>
      </c>
      <c r="H3" s="12">
        <v>3248</v>
      </c>
      <c r="I3" s="12">
        <v>280</v>
      </c>
      <c r="J3" s="12">
        <v>1298</v>
      </c>
      <c r="K3" s="13">
        <v>2088</v>
      </c>
      <c r="L3" s="23">
        <v>1.2</v>
      </c>
      <c r="M3" s="23">
        <v>-0.5</v>
      </c>
      <c r="N3" s="14">
        <f>(J3/1000)/$B$3</f>
        <v>0.1009802396141279</v>
      </c>
      <c r="O3" s="14">
        <f>N3*I3</f>
        <v>28.274467091955813</v>
      </c>
      <c r="P3" s="14">
        <f t="shared" ref="P3:P34" si="0">N3*K3</f>
        <v>210.84674031429907</v>
      </c>
      <c r="Q3" s="14">
        <f>N3*$E$3</f>
        <v>73.917535397541627</v>
      </c>
    </row>
    <row r="4" spans="1:17" ht="14.5" customHeight="1" thickTop="1" thickBot="1" x14ac:dyDescent="0.4">
      <c r="A4" s="25"/>
      <c r="B4" s="24"/>
      <c r="C4" s="27"/>
      <c r="D4" s="27"/>
      <c r="E4" s="27"/>
      <c r="F4" s="27"/>
      <c r="G4" s="10" t="s">
        <v>92</v>
      </c>
      <c r="H4" s="12">
        <v>3175</v>
      </c>
      <c r="I4" s="12">
        <v>385</v>
      </c>
      <c r="J4" s="12">
        <v>1305</v>
      </c>
      <c r="K4" s="13">
        <v>1950</v>
      </c>
      <c r="L4" s="23">
        <v>1</v>
      </c>
      <c r="M4" s="23">
        <v>-0.8</v>
      </c>
      <c r="N4" s="14">
        <f t="shared" ref="N4:N6" si="1">(J4/1000)/$B$3</f>
        <v>0.10152481717753228</v>
      </c>
      <c r="O4" s="14">
        <f t="shared" ref="O4:O6" si="2">N4*I4</f>
        <v>39.087054613349927</v>
      </c>
      <c r="P4" s="14">
        <f t="shared" si="0"/>
        <v>197.97339349618795</v>
      </c>
      <c r="Q4" s="14">
        <f t="shared" ref="Q4:Q6" si="3">N4*$E$3</f>
        <v>74.316166173953633</v>
      </c>
    </row>
    <row r="5" spans="1:17" ht="14.5" customHeight="1" thickTop="1" thickBot="1" x14ac:dyDescent="0.4">
      <c r="A5" s="25"/>
      <c r="B5" s="24"/>
      <c r="C5" s="27"/>
      <c r="D5" s="27"/>
      <c r="E5" s="27"/>
      <c r="F5" s="27"/>
      <c r="G5" s="10" t="s">
        <v>93</v>
      </c>
      <c r="H5" s="12">
        <v>3246</v>
      </c>
      <c r="I5" s="12">
        <v>333</v>
      </c>
      <c r="J5" s="12">
        <v>1355</v>
      </c>
      <c r="K5" s="13">
        <v>2074</v>
      </c>
      <c r="L5" s="23">
        <v>0.9</v>
      </c>
      <c r="M5" s="23">
        <v>-1.1000000000000001</v>
      </c>
      <c r="N5" s="14">
        <f t="shared" si="1"/>
        <v>0.10541465691613507</v>
      </c>
      <c r="O5" s="14">
        <f t="shared" si="2"/>
        <v>35.10308075307298</v>
      </c>
      <c r="P5" s="14">
        <f t="shared" si="0"/>
        <v>218.62999844406411</v>
      </c>
      <c r="Q5" s="14">
        <f t="shared" si="3"/>
        <v>77.163528862610875</v>
      </c>
    </row>
    <row r="6" spans="1:17" ht="14.5" customHeight="1" thickTop="1" thickBot="1" x14ac:dyDescent="0.4">
      <c r="A6" s="25"/>
      <c r="B6" s="24"/>
      <c r="C6" s="27"/>
      <c r="D6" s="27"/>
      <c r="E6" s="27"/>
      <c r="F6" s="27"/>
      <c r="G6" s="10" t="s">
        <v>94</v>
      </c>
      <c r="H6" s="12">
        <v>3185</v>
      </c>
      <c r="I6" s="12">
        <f>C3-SUM(I3:I5)</f>
        <v>389</v>
      </c>
      <c r="J6" s="12">
        <f>D3-SUM(J3:J5)</f>
        <v>1264</v>
      </c>
      <c r="K6" s="13">
        <f>7903-SUM(K3:K5)</f>
        <v>1791</v>
      </c>
      <c r="L6" s="23">
        <v>1.3</v>
      </c>
      <c r="M6" s="23">
        <v>-0.6</v>
      </c>
      <c r="N6" s="14">
        <f t="shared" si="1"/>
        <v>9.8335148591878016E-2</v>
      </c>
      <c r="O6" s="14">
        <f t="shared" si="2"/>
        <v>38.252372802240551</v>
      </c>
      <c r="P6" s="14">
        <f t="shared" si="0"/>
        <v>176.11825112805352</v>
      </c>
      <c r="Q6" s="14">
        <f t="shared" si="3"/>
        <v>71.981328769254702</v>
      </c>
    </row>
    <row r="7" spans="1:17" thickTop="1" thickBot="1" x14ac:dyDescent="0.4">
      <c r="A7" s="25" t="s">
        <v>21</v>
      </c>
      <c r="B7" s="24">
        <v>13.547000000000001</v>
      </c>
      <c r="C7" s="27">
        <v>1706</v>
      </c>
      <c r="D7" s="27">
        <v>5203</v>
      </c>
      <c r="E7" s="27">
        <v>752</v>
      </c>
      <c r="F7" s="27">
        <v>8821</v>
      </c>
      <c r="G7" s="10" t="s">
        <v>91</v>
      </c>
      <c r="H7" s="12">
        <v>3401</v>
      </c>
      <c r="I7" s="12">
        <v>510</v>
      </c>
      <c r="J7" s="12">
        <v>1351</v>
      </c>
      <c r="K7" s="13">
        <v>2149</v>
      </c>
      <c r="L7" s="23">
        <v>0.8</v>
      </c>
      <c r="M7" s="23">
        <v>-1.5</v>
      </c>
      <c r="N7" s="14">
        <f>(J7/1000)/$B$7</f>
        <v>9.9726876799291347E-2</v>
      </c>
      <c r="O7" s="14">
        <f>N7*I7</f>
        <v>50.860707167638587</v>
      </c>
      <c r="P7" s="14">
        <f t="shared" si="0"/>
        <v>214.31305824167711</v>
      </c>
      <c r="Q7" s="14">
        <f>N7*$E$7</f>
        <v>74.9946113530671</v>
      </c>
    </row>
    <row r="8" spans="1:17" thickTop="1" thickBot="1" x14ac:dyDescent="0.4">
      <c r="A8" s="25"/>
      <c r="B8" s="24"/>
      <c r="C8" s="27"/>
      <c r="D8" s="27"/>
      <c r="E8" s="27"/>
      <c r="F8" s="27"/>
      <c r="G8" s="10" t="s">
        <v>92</v>
      </c>
      <c r="H8" s="12">
        <v>3360</v>
      </c>
      <c r="I8" s="12">
        <v>474</v>
      </c>
      <c r="J8" s="12">
        <v>1304</v>
      </c>
      <c r="K8" s="13">
        <v>2151</v>
      </c>
      <c r="L8" s="23">
        <v>1.1000000000000001</v>
      </c>
      <c r="M8" s="23">
        <v>-2</v>
      </c>
      <c r="N8" s="14">
        <f t="shared" ref="N8:N10" si="4">(J8/1000)/$B$7</f>
        <v>9.6257473979478855E-2</v>
      </c>
      <c r="O8" s="14">
        <f t="shared" ref="O8:O34" si="5">N8*I8</f>
        <v>45.62604266627298</v>
      </c>
      <c r="P8" s="14">
        <f t="shared" si="0"/>
        <v>207.04982652985902</v>
      </c>
      <c r="Q8" s="14">
        <f t="shared" ref="Q8:Q10" si="6">N8*$E$7</f>
        <v>72.385620432568103</v>
      </c>
    </row>
    <row r="9" spans="1:17" thickTop="1" thickBot="1" x14ac:dyDescent="0.4">
      <c r="A9" s="25"/>
      <c r="B9" s="24"/>
      <c r="C9" s="27"/>
      <c r="D9" s="27"/>
      <c r="E9" s="27"/>
      <c r="F9" s="27"/>
      <c r="G9" s="10" t="s">
        <v>93</v>
      </c>
      <c r="H9" s="12">
        <v>3469</v>
      </c>
      <c r="I9" s="12">
        <v>396</v>
      </c>
      <c r="J9" s="12">
        <v>1330</v>
      </c>
      <c r="K9" s="13">
        <v>2293</v>
      </c>
      <c r="L9" s="23">
        <v>1.4</v>
      </c>
      <c r="M9" s="23">
        <v>-2.2999999999999998</v>
      </c>
      <c r="N9" s="14">
        <f t="shared" si="4"/>
        <v>9.8176718092566617E-2</v>
      </c>
      <c r="O9" s="14">
        <f t="shared" si="5"/>
        <v>38.877980364656381</v>
      </c>
      <c r="P9" s="14">
        <f t="shared" si="0"/>
        <v>225.11921458625525</v>
      </c>
      <c r="Q9" s="14">
        <f t="shared" si="6"/>
        <v>73.828892005610101</v>
      </c>
    </row>
    <row r="10" spans="1:17" thickTop="1" thickBot="1" x14ac:dyDescent="0.4">
      <c r="A10" s="25"/>
      <c r="B10" s="24"/>
      <c r="C10" s="27"/>
      <c r="D10" s="27"/>
      <c r="E10" s="27"/>
      <c r="F10" s="27"/>
      <c r="G10" s="10" t="s">
        <v>94</v>
      </c>
      <c r="H10" s="12">
        <v>3317</v>
      </c>
      <c r="I10" s="12">
        <f>1706-I7-I8-I9</f>
        <v>326</v>
      </c>
      <c r="J10" s="12">
        <f>D7-J7-J8-J9</f>
        <v>1218</v>
      </c>
      <c r="K10" s="13">
        <v>2228</v>
      </c>
      <c r="L10" s="23">
        <v>1.6</v>
      </c>
      <c r="M10" s="23">
        <v>-1.9</v>
      </c>
      <c r="N10" s="14">
        <f t="shared" si="4"/>
        <v>8.9909204990034686E-2</v>
      </c>
      <c r="O10" s="14">
        <f t="shared" si="5"/>
        <v>29.310400826751309</v>
      </c>
      <c r="P10" s="14">
        <f t="shared" si="0"/>
        <v>200.31770871779727</v>
      </c>
      <c r="Q10" s="14">
        <f t="shared" si="6"/>
        <v>67.61172215250609</v>
      </c>
    </row>
    <row r="11" spans="1:17" thickTop="1" thickBot="1" x14ac:dyDescent="0.4">
      <c r="A11" s="25" t="s">
        <v>22</v>
      </c>
      <c r="B11" s="24">
        <v>13.577999999999999</v>
      </c>
      <c r="C11" s="27">
        <v>1401</v>
      </c>
      <c r="D11" s="27">
        <v>5029</v>
      </c>
      <c r="E11" s="27">
        <v>676</v>
      </c>
      <c r="F11" s="27">
        <v>9197</v>
      </c>
      <c r="G11" s="10" t="s">
        <v>91</v>
      </c>
      <c r="H11" s="12">
        <v>3522</v>
      </c>
      <c r="I11" s="12">
        <v>381</v>
      </c>
      <c r="J11" s="12">
        <v>1275</v>
      </c>
      <c r="K11" s="13">
        <v>2415</v>
      </c>
      <c r="L11" s="23">
        <v>1.7</v>
      </c>
      <c r="M11" s="23">
        <v>-2.5</v>
      </c>
      <c r="N11" s="14">
        <f>(J11/1000)/$B$11</f>
        <v>9.3901900132567384E-2</v>
      </c>
      <c r="O11" s="14">
        <f t="shared" si="5"/>
        <v>35.776623950508174</v>
      </c>
      <c r="P11" s="14">
        <f t="shared" si="0"/>
        <v>226.77308882015024</v>
      </c>
      <c r="Q11" s="14">
        <f>N11*$E$11</f>
        <v>63.477684489615555</v>
      </c>
    </row>
    <row r="12" spans="1:17" thickTop="1" thickBot="1" x14ac:dyDescent="0.4">
      <c r="A12" s="25"/>
      <c r="B12" s="24"/>
      <c r="C12" s="27"/>
      <c r="D12" s="27"/>
      <c r="E12" s="27"/>
      <c r="F12" s="27"/>
      <c r="G12" s="10" t="s">
        <v>92</v>
      </c>
      <c r="H12" s="12">
        <v>3461</v>
      </c>
      <c r="I12" s="12">
        <v>397</v>
      </c>
      <c r="J12" s="12">
        <v>1256</v>
      </c>
      <c r="K12" s="13">
        <v>2275</v>
      </c>
      <c r="L12" s="23">
        <v>2</v>
      </c>
      <c r="M12" s="23">
        <v>-3</v>
      </c>
      <c r="N12" s="14">
        <f t="shared" ref="N12:N14" si="7">(J12/1000)/$B$11</f>
        <v>9.2502577699219324E-2</v>
      </c>
      <c r="O12" s="14">
        <f t="shared" si="5"/>
        <v>36.723523346590071</v>
      </c>
      <c r="P12" s="14">
        <f t="shared" si="0"/>
        <v>210.44336426572397</v>
      </c>
      <c r="Q12" s="14">
        <f t="shared" ref="Q12:Q14" si="8">N12*$E$11</f>
        <v>62.531742524672261</v>
      </c>
    </row>
    <row r="13" spans="1:17" thickTop="1" thickBot="1" x14ac:dyDescent="0.4">
      <c r="A13" s="25"/>
      <c r="B13" s="24"/>
      <c r="C13" s="27"/>
      <c r="D13" s="27"/>
      <c r="E13" s="27"/>
      <c r="F13" s="27"/>
      <c r="G13" s="10" t="s">
        <v>93</v>
      </c>
      <c r="H13" s="12">
        <v>3372</v>
      </c>
      <c r="I13" s="12">
        <v>263</v>
      </c>
      <c r="J13" s="12">
        <v>1280</v>
      </c>
      <c r="K13" s="13">
        <v>2372</v>
      </c>
      <c r="L13" s="23">
        <v>2.2999999999999998</v>
      </c>
      <c r="M13" s="23">
        <v>-2.8</v>
      </c>
      <c r="N13" s="14">
        <f t="shared" si="7"/>
        <v>9.4270142878185303E-2</v>
      </c>
      <c r="O13" s="14">
        <f t="shared" si="5"/>
        <v>24.793047576962735</v>
      </c>
      <c r="P13" s="14">
        <f t="shared" si="0"/>
        <v>223.60877890705555</v>
      </c>
      <c r="Q13" s="14">
        <f t="shared" si="8"/>
        <v>63.726616585653268</v>
      </c>
    </row>
    <row r="14" spans="1:17" thickTop="1" thickBot="1" x14ac:dyDescent="0.4">
      <c r="A14" s="25"/>
      <c r="B14" s="24"/>
      <c r="C14" s="27"/>
      <c r="D14" s="27"/>
      <c r="E14" s="27"/>
      <c r="F14" s="27"/>
      <c r="G14" s="10" t="s">
        <v>94</v>
      </c>
      <c r="H14" s="12">
        <v>3223</v>
      </c>
      <c r="I14" s="12">
        <f>C11-(SUM(I11:I13))</f>
        <v>360</v>
      </c>
      <c r="J14" s="12">
        <f>D11-SUM(J11:J13)</f>
        <v>1218</v>
      </c>
      <c r="K14" s="13">
        <v>2135</v>
      </c>
      <c r="L14" s="23">
        <v>2.5</v>
      </c>
      <c r="M14" s="23">
        <v>-2.2000000000000002</v>
      </c>
      <c r="N14" s="14">
        <f t="shared" si="7"/>
        <v>8.9703932832523203E-2</v>
      </c>
      <c r="O14" s="14">
        <f t="shared" si="5"/>
        <v>32.293415819708351</v>
      </c>
      <c r="P14" s="14">
        <f t="shared" si="0"/>
        <v>191.51789659743704</v>
      </c>
      <c r="Q14" s="14">
        <f t="shared" si="8"/>
        <v>60.639858594785686</v>
      </c>
    </row>
    <row r="15" spans="1:17" ht="15.5" customHeight="1" thickTop="1" thickBot="1" x14ac:dyDescent="0.4">
      <c r="A15" s="26" t="s">
        <v>23</v>
      </c>
      <c r="B15" s="24">
        <v>13.77</v>
      </c>
      <c r="C15" s="27">
        <v>1761</v>
      </c>
      <c r="D15" s="27">
        <v>5433</v>
      </c>
      <c r="E15" s="27">
        <v>781</v>
      </c>
      <c r="F15" s="27">
        <v>9043</v>
      </c>
      <c r="G15" s="10" t="s">
        <v>91</v>
      </c>
      <c r="H15" s="12">
        <v>3412</v>
      </c>
      <c r="I15" s="12">
        <v>459</v>
      </c>
      <c r="J15" s="12">
        <v>1554</v>
      </c>
      <c r="K15" s="13">
        <v>2268</v>
      </c>
      <c r="L15" s="23">
        <v>3.5</v>
      </c>
      <c r="M15" s="23">
        <v>5.8</v>
      </c>
      <c r="N15" s="14">
        <f>(J15/1000)/$B$15</f>
        <v>0.11285403050108933</v>
      </c>
      <c r="O15" s="14">
        <f t="shared" si="5"/>
        <v>51.800000000000004</v>
      </c>
      <c r="P15" s="14">
        <f t="shared" si="0"/>
        <v>255.9529411764706</v>
      </c>
      <c r="Q15" s="14">
        <f>N15*$E$15</f>
        <v>88.13899782135077</v>
      </c>
    </row>
    <row r="16" spans="1:17" ht="15.5" customHeight="1" thickTop="1" thickBot="1" x14ac:dyDescent="0.4">
      <c r="A16" s="26"/>
      <c r="B16" s="24"/>
      <c r="C16" s="27"/>
      <c r="D16" s="27"/>
      <c r="E16" s="27"/>
      <c r="F16" s="27"/>
      <c r="G16" s="10" t="s">
        <v>92</v>
      </c>
      <c r="H16" s="12">
        <v>3465</v>
      </c>
      <c r="I16" s="12">
        <v>506</v>
      </c>
      <c r="J16" s="12">
        <v>1444</v>
      </c>
      <c r="K16" s="13">
        <v>2268</v>
      </c>
      <c r="L16" s="23">
        <v>3.8</v>
      </c>
      <c r="M16" s="23">
        <v>6.2</v>
      </c>
      <c r="N16" s="14">
        <f t="shared" ref="N16:N18" si="9">(J16/1000)/$B$15</f>
        <v>0.10486564996368918</v>
      </c>
      <c r="O16" s="14">
        <f t="shared" si="5"/>
        <v>53.06201888162672</v>
      </c>
      <c r="P16" s="14">
        <f t="shared" si="0"/>
        <v>237.83529411764704</v>
      </c>
      <c r="Q16" s="14">
        <f t="shared" ref="Q16:Q18" si="10">N16*$E$15</f>
        <v>81.900072621641243</v>
      </c>
    </row>
    <row r="17" spans="1:17" ht="15.5" customHeight="1" thickTop="1" thickBot="1" x14ac:dyDescent="0.4">
      <c r="A17" s="26"/>
      <c r="B17" s="24"/>
      <c r="C17" s="27"/>
      <c r="D17" s="27"/>
      <c r="E17" s="27"/>
      <c r="F17" s="27"/>
      <c r="G17" s="10" t="s">
        <v>93</v>
      </c>
      <c r="H17" s="12">
        <v>3429</v>
      </c>
      <c r="I17" s="12">
        <v>411</v>
      </c>
      <c r="J17" s="12">
        <v>1324</v>
      </c>
      <c r="K17" s="13">
        <v>2228</v>
      </c>
      <c r="L17" s="23">
        <v>4</v>
      </c>
      <c r="M17" s="23">
        <v>5.5</v>
      </c>
      <c r="N17" s="14">
        <f t="shared" si="9"/>
        <v>9.6151053013798116E-2</v>
      </c>
      <c r="O17" s="14">
        <f t="shared" si="5"/>
        <v>39.518082788671023</v>
      </c>
      <c r="P17" s="14">
        <f t="shared" si="0"/>
        <v>214.2245461147422</v>
      </c>
      <c r="Q17" s="14">
        <f t="shared" si="10"/>
        <v>75.093972403776334</v>
      </c>
    </row>
    <row r="18" spans="1:17" ht="15.5" customHeight="1" thickTop="1" thickBot="1" x14ac:dyDescent="0.4">
      <c r="A18" s="26"/>
      <c r="B18" s="24"/>
      <c r="C18" s="27"/>
      <c r="D18" s="27"/>
      <c r="E18" s="27"/>
      <c r="F18" s="27"/>
      <c r="G18" s="10" t="s">
        <v>94</v>
      </c>
      <c r="H18" s="12">
        <f>(B15*1000)- SUM(H15:H17)</f>
        <v>3464</v>
      </c>
      <c r="I18" s="12">
        <f>(C15)- SUM(I15:I17)</f>
        <v>385</v>
      </c>
      <c r="J18" s="12">
        <f>(D15)- SUM(J15:J17)</f>
        <v>1111</v>
      </c>
      <c r="K18" s="13">
        <f>(F15)- SUM(K15:K17)</f>
        <v>2279</v>
      </c>
      <c r="L18" s="23">
        <v>4.2</v>
      </c>
      <c r="M18" s="23">
        <v>4.9000000000000004</v>
      </c>
      <c r="N18" s="14">
        <f t="shared" si="9"/>
        <v>8.0682643427741466E-2</v>
      </c>
      <c r="O18" s="14">
        <f t="shared" si="5"/>
        <v>31.062817719680464</v>
      </c>
      <c r="P18" s="14">
        <f t="shared" si="0"/>
        <v>183.8757443718228</v>
      </c>
      <c r="Q18" s="14">
        <f t="shared" si="10"/>
        <v>63.013144517066081</v>
      </c>
    </row>
    <row r="19" spans="1:17" ht="15.5" customHeight="1" thickTop="1" thickBot="1" x14ac:dyDescent="0.4">
      <c r="A19" s="26" t="s">
        <v>24</v>
      </c>
      <c r="B19" s="24">
        <v>14.18</v>
      </c>
      <c r="C19" s="27">
        <v>1752</v>
      </c>
      <c r="D19" s="27">
        <v>5123</v>
      </c>
      <c r="E19" s="27">
        <v>541</v>
      </c>
      <c r="F19" s="27">
        <v>7929</v>
      </c>
      <c r="G19" s="10" t="s">
        <v>91</v>
      </c>
      <c r="H19" s="12">
        <v>3584</v>
      </c>
      <c r="I19" s="12">
        <v>472</v>
      </c>
      <c r="J19" s="12">
        <v>1374</v>
      </c>
      <c r="K19" s="13">
        <v>2418</v>
      </c>
      <c r="L19" s="23">
        <v>4.5</v>
      </c>
      <c r="M19" s="23">
        <v>-1.2</v>
      </c>
      <c r="N19" s="14">
        <f>(J19/1000)/$B$19</f>
        <v>9.6897038081805373E-2</v>
      </c>
      <c r="O19" s="14">
        <f t="shared" si="5"/>
        <v>45.735401974612138</v>
      </c>
      <c r="P19" s="14">
        <f t="shared" si="0"/>
        <v>234.2970380818054</v>
      </c>
      <c r="Q19" s="14">
        <f>N19*$E$19</f>
        <v>52.421297602256708</v>
      </c>
    </row>
    <row r="20" spans="1:17" ht="15.5" customHeight="1" thickTop="1" thickBot="1" x14ac:dyDescent="0.4">
      <c r="A20" s="26"/>
      <c r="B20" s="24"/>
      <c r="C20" s="27"/>
      <c r="D20" s="27"/>
      <c r="E20" s="27"/>
      <c r="F20" s="27"/>
      <c r="G20" s="10" t="s">
        <v>92</v>
      </c>
      <c r="H20" s="12">
        <v>3555</v>
      </c>
      <c r="I20" s="12">
        <v>504</v>
      </c>
      <c r="J20" s="12">
        <v>1336</v>
      </c>
      <c r="K20" s="13">
        <v>2331</v>
      </c>
      <c r="L20" s="23">
        <v>5</v>
      </c>
      <c r="M20" s="23">
        <v>-1.5</v>
      </c>
      <c r="N20" s="14">
        <f t="shared" ref="N20:N22" si="11">(J20/1000)/$B$19</f>
        <v>9.4217207334273634E-2</v>
      </c>
      <c r="O20" s="14">
        <f t="shared" si="5"/>
        <v>47.485472496473911</v>
      </c>
      <c r="P20" s="14">
        <f t="shared" si="0"/>
        <v>219.62031029619183</v>
      </c>
      <c r="Q20" s="14">
        <f t="shared" ref="Q20:Q22" si="12">N20*$E$19</f>
        <v>50.971509167842036</v>
      </c>
    </row>
    <row r="21" spans="1:17" ht="15.5" customHeight="1" thickTop="1" thickBot="1" x14ac:dyDescent="0.4">
      <c r="A21" s="26"/>
      <c r="B21" s="24"/>
      <c r="C21" s="27"/>
      <c r="D21" s="27"/>
      <c r="E21" s="27"/>
      <c r="F21" s="27"/>
      <c r="G21" s="10" t="s">
        <v>93</v>
      </c>
      <c r="H21" s="12">
        <v>3622</v>
      </c>
      <c r="I21" s="12">
        <v>447</v>
      </c>
      <c r="J21" s="12">
        <v>1313</v>
      </c>
      <c r="K21" s="13">
        <v>2457</v>
      </c>
      <c r="L21" s="23">
        <v>5.3</v>
      </c>
      <c r="M21" s="23">
        <v>-2</v>
      </c>
      <c r="N21" s="14">
        <f t="shared" si="11"/>
        <v>9.2595204513399157E-2</v>
      </c>
      <c r="O21" s="14">
        <f t="shared" si="5"/>
        <v>41.390056417489426</v>
      </c>
      <c r="P21" s="14">
        <f t="shared" si="0"/>
        <v>227.50641748942172</v>
      </c>
      <c r="Q21" s="14">
        <f t="shared" si="12"/>
        <v>50.094005641748943</v>
      </c>
    </row>
    <row r="22" spans="1:17" ht="15.5" customHeight="1" thickTop="1" thickBot="1" x14ac:dyDescent="0.4">
      <c r="A22" s="26"/>
      <c r="B22" s="24"/>
      <c r="C22" s="27"/>
      <c r="D22" s="27"/>
      <c r="E22" s="27"/>
      <c r="F22" s="27"/>
      <c r="G22" s="10" t="s">
        <v>94</v>
      </c>
      <c r="H22" s="12">
        <f>(B19*1000)- SUM(H19:H21)</f>
        <v>3419</v>
      </c>
      <c r="I22" s="12">
        <f>(C19)- SUM(I19:I21)</f>
        <v>329</v>
      </c>
      <c r="J22" s="12">
        <f>(D19)- SUM(J19:J21)</f>
        <v>1100</v>
      </c>
      <c r="K22" s="13">
        <f>(F19)- SUM(K19:K21)</f>
        <v>723</v>
      </c>
      <c r="L22" s="23">
        <v>5.5</v>
      </c>
      <c r="M22" s="23">
        <v>-2.2999999999999998</v>
      </c>
      <c r="N22" s="14">
        <f t="shared" si="11"/>
        <v>7.7574047954866013E-2</v>
      </c>
      <c r="O22" s="14">
        <f t="shared" si="5"/>
        <v>25.521861777150917</v>
      </c>
      <c r="P22" s="14">
        <f t="shared" si="0"/>
        <v>56.086036671368127</v>
      </c>
      <c r="Q22" s="14">
        <f t="shared" si="12"/>
        <v>41.967559943582515</v>
      </c>
    </row>
    <row r="23" spans="1:17" ht="15.5" customHeight="1" thickTop="1" thickBot="1" x14ac:dyDescent="0.4">
      <c r="A23" s="26" t="s">
        <v>25</v>
      </c>
      <c r="B23" s="24">
        <v>15.32</v>
      </c>
      <c r="C23" s="27">
        <v>1635</v>
      </c>
      <c r="D23" s="27">
        <v>5280</v>
      </c>
      <c r="E23" s="27">
        <v>549</v>
      </c>
      <c r="F23" s="27">
        <v>8842</v>
      </c>
      <c r="G23" s="10" t="s">
        <v>91</v>
      </c>
      <c r="H23" s="12">
        <v>3672</v>
      </c>
      <c r="I23" s="12">
        <v>517</v>
      </c>
      <c r="J23" s="12">
        <v>1281</v>
      </c>
      <c r="K23" s="13">
        <v>2513</v>
      </c>
      <c r="L23" s="23">
        <v>6.2</v>
      </c>
      <c r="M23" s="23">
        <v>-3.5</v>
      </c>
      <c r="N23" s="14">
        <f>(J23/1000)/$B$23</f>
        <v>8.3616187989556126E-2</v>
      </c>
      <c r="O23" s="14">
        <f t="shared" si="5"/>
        <v>43.229569190600515</v>
      </c>
      <c r="P23" s="14">
        <f t="shared" si="0"/>
        <v>210.12748041775455</v>
      </c>
      <c r="Q23" s="14">
        <f>N23*$E$23</f>
        <v>45.905287206266316</v>
      </c>
    </row>
    <row r="24" spans="1:17" ht="15.5" customHeight="1" thickTop="1" thickBot="1" x14ac:dyDescent="0.4">
      <c r="A24" s="26"/>
      <c r="B24" s="24"/>
      <c r="C24" s="27"/>
      <c r="D24" s="27"/>
      <c r="E24" s="27"/>
      <c r="F24" s="27"/>
      <c r="G24" s="10" t="s">
        <v>92</v>
      </c>
      <c r="H24" s="12">
        <v>3864</v>
      </c>
      <c r="I24" s="12">
        <v>415</v>
      </c>
      <c r="J24" s="12">
        <v>1342</v>
      </c>
      <c r="K24" s="13">
        <v>2721</v>
      </c>
      <c r="L24" s="23">
        <v>6.5</v>
      </c>
      <c r="M24" s="23">
        <v>-4</v>
      </c>
      <c r="N24" s="14">
        <f>(J24/1000)/$B$23</f>
        <v>8.7597911227154046E-2</v>
      </c>
      <c r="O24" s="14">
        <f t="shared" si="5"/>
        <v>36.353133159268928</v>
      </c>
      <c r="P24" s="14">
        <f t="shared" si="0"/>
        <v>238.35391644908617</v>
      </c>
      <c r="Q24" s="14">
        <f t="shared" ref="Q24:Q26" si="13">N24*$E$23</f>
        <v>48.091253263707571</v>
      </c>
    </row>
    <row r="25" spans="1:17" ht="15.5" customHeight="1" thickTop="1" thickBot="1" x14ac:dyDescent="0.4">
      <c r="A25" s="26"/>
      <c r="B25" s="24"/>
      <c r="C25" s="27"/>
      <c r="D25" s="27"/>
      <c r="E25" s="27"/>
      <c r="F25" s="27"/>
      <c r="G25" s="10" t="s">
        <v>93</v>
      </c>
      <c r="H25" s="12">
        <v>3946</v>
      </c>
      <c r="I25" s="12">
        <v>368</v>
      </c>
      <c r="J25" s="12">
        <v>1355</v>
      </c>
      <c r="K25" s="13">
        <v>2793</v>
      </c>
      <c r="L25" s="23">
        <v>6.8</v>
      </c>
      <c r="M25" s="23">
        <v>-4.2</v>
      </c>
      <c r="N25" s="14">
        <f>(J25/1000)/$B$23</f>
        <v>8.8446475195822452E-2</v>
      </c>
      <c r="O25" s="14">
        <f t="shared" si="5"/>
        <v>32.548302872062663</v>
      </c>
      <c r="P25" s="14">
        <f t="shared" si="0"/>
        <v>247.03100522193211</v>
      </c>
      <c r="Q25" s="14">
        <f t="shared" si="13"/>
        <v>48.557114882506525</v>
      </c>
    </row>
    <row r="26" spans="1:17" ht="15.5" customHeight="1" thickTop="1" thickBot="1" x14ac:dyDescent="0.4">
      <c r="A26" s="26"/>
      <c r="B26" s="24"/>
      <c r="C26" s="27"/>
      <c r="D26" s="27"/>
      <c r="E26" s="27"/>
      <c r="F26" s="27"/>
      <c r="G26" s="10" t="s">
        <v>94</v>
      </c>
      <c r="H26" s="12">
        <f>(B23*1000)- SUM(H23:H25)</f>
        <v>3838</v>
      </c>
      <c r="I26" s="12">
        <f>(C23)- SUM(I23:I25)</f>
        <v>335</v>
      </c>
      <c r="J26" s="12">
        <f>(D23)- SUM(J23:J25)</f>
        <v>1302</v>
      </c>
      <c r="K26" s="13">
        <f>(F23)- SUM(K23:K25)</f>
        <v>815</v>
      </c>
      <c r="L26" s="23">
        <v>7</v>
      </c>
      <c r="M26" s="23">
        <v>-3.8</v>
      </c>
      <c r="N26" s="14">
        <f>(J26/1000)/$B$23</f>
        <v>8.4986945169712794E-2</v>
      </c>
      <c r="O26" s="14">
        <f t="shared" si="5"/>
        <v>28.470626631853786</v>
      </c>
      <c r="P26" s="14">
        <f t="shared" si="0"/>
        <v>69.264360313315933</v>
      </c>
      <c r="Q26" s="14">
        <f t="shared" si="13"/>
        <v>46.657832898172323</v>
      </c>
    </row>
    <row r="27" spans="1:17" ht="15.5" customHeight="1" thickTop="1" thickBot="1" x14ac:dyDescent="0.4">
      <c r="A27" s="26" t="s">
        <v>26</v>
      </c>
      <c r="B27" s="24">
        <v>13.12</v>
      </c>
      <c r="C27" s="27">
        <v>1505</v>
      </c>
      <c r="D27" s="27">
        <v>2736</v>
      </c>
      <c r="E27" s="27">
        <v>633</v>
      </c>
      <c r="F27" s="27">
        <v>8839</v>
      </c>
      <c r="G27" s="10" t="s">
        <v>91</v>
      </c>
      <c r="H27" s="12">
        <v>4053</v>
      </c>
      <c r="I27" s="12">
        <v>346</v>
      </c>
      <c r="J27" s="12">
        <v>679</v>
      </c>
      <c r="K27" s="13">
        <v>2843</v>
      </c>
      <c r="L27" s="23">
        <v>7.2</v>
      </c>
      <c r="M27" s="23">
        <v>-4.5</v>
      </c>
      <c r="N27" s="14">
        <f>(J27/1000)/$B$27</f>
        <v>5.1753048780487809E-2</v>
      </c>
      <c r="O27" s="14">
        <f t="shared" si="5"/>
        <v>17.90655487804878</v>
      </c>
      <c r="P27" s="14">
        <f t="shared" si="0"/>
        <v>147.13391768292684</v>
      </c>
      <c r="Q27" s="14">
        <f>N27*$E$27</f>
        <v>32.759679878048786</v>
      </c>
    </row>
    <row r="28" spans="1:17" ht="15.5" customHeight="1" thickTop="1" thickBot="1" x14ac:dyDescent="0.4">
      <c r="A28" s="26"/>
      <c r="B28" s="24"/>
      <c r="C28" s="27"/>
      <c r="D28" s="27"/>
      <c r="E28" s="27"/>
      <c r="F28" s="27"/>
      <c r="G28" s="10" t="s">
        <v>92</v>
      </c>
      <c r="H28" s="12">
        <v>4041</v>
      </c>
      <c r="I28" s="12">
        <v>417</v>
      </c>
      <c r="J28" s="12">
        <v>707</v>
      </c>
      <c r="K28" s="13">
        <v>2708</v>
      </c>
      <c r="L28" s="23">
        <v>6.8</v>
      </c>
      <c r="M28" s="23">
        <v>-5.0999999999999996</v>
      </c>
      <c r="N28" s="14">
        <f>(J28/1000)/$B$27</f>
        <v>5.3887195121951219E-2</v>
      </c>
      <c r="O28" s="14">
        <f t="shared" si="5"/>
        <v>22.470960365853657</v>
      </c>
      <c r="P28" s="14">
        <f t="shared" si="0"/>
        <v>145.92652439024391</v>
      </c>
      <c r="Q28" s="14">
        <f t="shared" ref="Q28:Q30" si="14">N28*$E$27</f>
        <v>34.110594512195121</v>
      </c>
    </row>
    <row r="29" spans="1:17" ht="15.5" customHeight="1" thickTop="1" thickBot="1" x14ac:dyDescent="0.4">
      <c r="A29" s="26"/>
      <c r="B29" s="24"/>
      <c r="C29" s="27"/>
      <c r="D29" s="27"/>
      <c r="E29" s="27"/>
      <c r="F29" s="27"/>
      <c r="G29" s="10" t="s">
        <v>93</v>
      </c>
      <c r="H29" s="12">
        <v>3939</v>
      </c>
      <c r="I29" s="12">
        <v>414</v>
      </c>
      <c r="J29" s="12">
        <v>684</v>
      </c>
      <c r="K29" s="13">
        <v>2596</v>
      </c>
      <c r="L29" s="23">
        <v>6.5</v>
      </c>
      <c r="M29" s="23">
        <v>-5.8</v>
      </c>
      <c r="N29" s="14">
        <f>(J29/1000)/$B$27</f>
        <v>5.2134146341463419E-2</v>
      </c>
      <c r="O29" s="14">
        <f t="shared" si="5"/>
        <v>21.583536585365856</v>
      </c>
      <c r="P29" s="14">
        <f t="shared" si="0"/>
        <v>135.34024390243903</v>
      </c>
      <c r="Q29" s="14">
        <f t="shared" si="14"/>
        <v>33.000914634146348</v>
      </c>
    </row>
    <row r="30" spans="1:17" ht="15.5" customHeight="1" thickTop="1" thickBot="1" x14ac:dyDescent="0.4">
      <c r="A30" s="26"/>
      <c r="B30" s="24"/>
      <c r="C30" s="27"/>
      <c r="D30" s="27"/>
      <c r="E30" s="27"/>
      <c r="F30" s="27"/>
      <c r="G30" s="10" t="s">
        <v>94</v>
      </c>
      <c r="H30" s="12">
        <f>(B27*1000)- SUM(H27:H29)</f>
        <v>1087</v>
      </c>
      <c r="I30" s="12">
        <f>C27-(SUM(I27:I29))</f>
        <v>328</v>
      </c>
      <c r="J30" s="12">
        <f>D27-SUM(J27:J29)</f>
        <v>666</v>
      </c>
      <c r="K30" s="13">
        <f>(F27)- SUM(K27:K29)</f>
        <v>692</v>
      </c>
      <c r="L30" s="23">
        <v>6.9</v>
      </c>
      <c r="M30" s="23">
        <v>-6</v>
      </c>
      <c r="N30" s="14">
        <f>(J30/1000)/$B$27</f>
        <v>5.0762195121951223E-2</v>
      </c>
      <c r="O30" s="14">
        <f t="shared" si="5"/>
        <v>16.650000000000002</v>
      </c>
      <c r="P30" s="14">
        <f t="shared" si="0"/>
        <v>35.127439024390249</v>
      </c>
      <c r="Q30" s="14">
        <f t="shared" si="14"/>
        <v>32.132469512195122</v>
      </c>
    </row>
    <row r="31" spans="1:17" ht="15.5" hidden="1" customHeight="1" thickTop="1" thickBot="1" x14ac:dyDescent="0.4">
      <c r="A31" s="26" t="s">
        <v>109</v>
      </c>
      <c r="B31" s="24">
        <v>12.75</v>
      </c>
      <c r="C31" s="27">
        <v>1873</v>
      </c>
      <c r="D31" s="27">
        <v>2700</v>
      </c>
      <c r="E31" s="27">
        <v>628</v>
      </c>
      <c r="F31" s="27">
        <v>8204</v>
      </c>
      <c r="G31" s="10" t="s">
        <v>91</v>
      </c>
      <c r="H31" s="12">
        <v>3200</v>
      </c>
      <c r="I31" s="12">
        <v>393</v>
      </c>
      <c r="J31" s="12">
        <v>687</v>
      </c>
      <c r="K31" s="20">
        <v>2169</v>
      </c>
      <c r="N31" s="14">
        <f>(J31/1000)/$B$31</f>
        <v>5.3882352941176472E-2</v>
      </c>
      <c r="O31" s="14">
        <f t="shared" si="5"/>
        <v>21.175764705882354</v>
      </c>
      <c r="P31" s="14">
        <f t="shared" si="0"/>
        <v>116.87082352941177</v>
      </c>
      <c r="Q31" s="14">
        <f t="shared" ref="Q31:Q34" si="15">N31*$E$27</f>
        <v>34.107529411764709</v>
      </c>
    </row>
    <row r="32" spans="1:17" ht="15.5" hidden="1" customHeight="1" thickTop="1" thickBot="1" x14ac:dyDescent="0.4">
      <c r="A32" s="26"/>
      <c r="B32" s="24"/>
      <c r="C32" s="27"/>
      <c r="D32" s="27"/>
      <c r="E32" s="27"/>
      <c r="F32" s="27"/>
      <c r="G32" s="10" t="s">
        <v>92</v>
      </c>
      <c r="H32" s="12">
        <v>3192</v>
      </c>
      <c r="I32" s="12">
        <v>493</v>
      </c>
      <c r="J32" s="12">
        <v>689</v>
      </c>
      <c r="K32" s="20">
        <v>2031</v>
      </c>
      <c r="N32" s="14">
        <f t="shared" ref="N32:N34" si="16">(J32/1000)/$B$31</f>
        <v>5.4039215686274504E-2</v>
      </c>
      <c r="O32" s="14">
        <f t="shared" si="5"/>
        <v>26.641333333333332</v>
      </c>
      <c r="P32" s="14">
        <f t="shared" si="0"/>
        <v>109.75364705882352</v>
      </c>
      <c r="Q32" s="14">
        <f t="shared" si="15"/>
        <v>34.206823529411764</v>
      </c>
    </row>
    <row r="33" spans="1:17" ht="15.5" hidden="1" customHeight="1" thickTop="1" thickBot="1" x14ac:dyDescent="0.4">
      <c r="A33" s="26"/>
      <c r="B33" s="24"/>
      <c r="C33" s="27"/>
      <c r="D33" s="27"/>
      <c r="E33" s="27"/>
      <c r="F33" s="27"/>
      <c r="G33" s="10" t="s">
        <v>93</v>
      </c>
      <c r="H33" s="12">
        <v>3233</v>
      </c>
      <c r="I33" s="12">
        <v>456</v>
      </c>
      <c r="J33" s="12">
        <v>690</v>
      </c>
      <c r="K33" s="20">
        <v>2057</v>
      </c>
      <c r="N33" s="14">
        <f t="shared" si="16"/>
        <v>5.4117647058823527E-2</v>
      </c>
      <c r="O33" s="14">
        <f t="shared" si="5"/>
        <v>24.677647058823528</v>
      </c>
      <c r="P33" s="14">
        <f t="shared" si="0"/>
        <v>111.32</v>
      </c>
      <c r="Q33" s="14">
        <f t="shared" si="15"/>
        <v>34.256470588235295</v>
      </c>
    </row>
    <row r="34" spans="1:17" ht="15.5" hidden="1" customHeight="1" thickTop="1" thickBot="1" x14ac:dyDescent="0.4">
      <c r="A34" s="26"/>
      <c r="B34" s="24"/>
      <c r="C34" s="27"/>
      <c r="D34" s="27"/>
      <c r="E34" s="27"/>
      <c r="F34" s="27"/>
      <c r="G34" s="10" t="s">
        <v>94</v>
      </c>
      <c r="H34" s="12">
        <f>(B31*1000)-(SUM(H31:H33))</f>
        <v>3125</v>
      </c>
      <c r="I34" s="12">
        <f>C31-SUM(I31:I33)</f>
        <v>531</v>
      </c>
      <c r="J34" s="12">
        <f>D31-687-689-690</f>
        <v>634</v>
      </c>
      <c r="K34" s="13">
        <f>(F31)- SUM(K31:K33)</f>
        <v>1947</v>
      </c>
      <c r="N34" s="14">
        <f t="shared" si="16"/>
        <v>4.9725490196078435E-2</v>
      </c>
      <c r="O34" s="14">
        <f t="shared" si="5"/>
        <v>26.404235294117647</v>
      </c>
      <c r="P34" s="14">
        <f t="shared" si="0"/>
        <v>96.815529411764714</v>
      </c>
      <c r="Q34" s="14">
        <f t="shared" si="15"/>
        <v>31.47623529411765</v>
      </c>
    </row>
    <row r="35" spans="1:17" thickTop="1" thickBot="1" x14ac:dyDescent="0.4">
      <c r="A35" s="28">
        <v>2024</v>
      </c>
      <c r="B35" s="27">
        <v>15.46</v>
      </c>
      <c r="C35" s="27">
        <v>1982</v>
      </c>
      <c r="D35" s="27">
        <v>5408</v>
      </c>
      <c r="E35" s="27">
        <v>838</v>
      </c>
      <c r="F35" s="27">
        <f>F31+F43</f>
        <v>10119</v>
      </c>
      <c r="G35" s="10" t="s">
        <v>91</v>
      </c>
      <c r="H35" s="22">
        <f>H31+H43</f>
        <v>3898</v>
      </c>
      <c r="I35" s="22">
        <f t="shared" ref="I35:J38" si="17">I43+I31</f>
        <v>421</v>
      </c>
      <c r="J35" s="22">
        <f t="shared" si="17"/>
        <v>1372</v>
      </c>
      <c r="K35" s="22">
        <f>K31+K43</f>
        <v>2673</v>
      </c>
      <c r="L35" s="23">
        <v>4.2</v>
      </c>
      <c r="M35" s="23">
        <v>-3.2</v>
      </c>
      <c r="N35" s="14">
        <v>1</v>
      </c>
      <c r="O35" s="22">
        <f t="shared" ref="O35:Q38" si="18">O31+O43</f>
        <v>49.175764705882358</v>
      </c>
      <c r="P35" s="14">
        <f t="shared" si="18"/>
        <v>620.87082352941172</v>
      </c>
      <c r="Q35" s="14">
        <f t="shared" si="18"/>
        <v>84.107529411764716</v>
      </c>
    </row>
    <row r="36" spans="1:17" thickTop="1" thickBot="1" x14ac:dyDescent="0.4">
      <c r="A36" s="28"/>
      <c r="B36" s="27"/>
      <c r="C36" s="27"/>
      <c r="D36" s="27"/>
      <c r="E36" s="27"/>
      <c r="F36" s="27"/>
      <c r="G36" s="10" t="s">
        <v>92</v>
      </c>
      <c r="H36" s="22">
        <f>H32+H44</f>
        <v>3864</v>
      </c>
      <c r="I36" s="22">
        <f t="shared" si="17"/>
        <v>540</v>
      </c>
      <c r="J36" s="22">
        <f t="shared" si="17"/>
        <v>1392</v>
      </c>
      <c r="K36" s="22">
        <f>K32+K44</f>
        <v>2507</v>
      </c>
      <c r="L36" s="23">
        <v>3.9</v>
      </c>
      <c r="M36" s="23">
        <v>-2.8</v>
      </c>
      <c r="N36" s="14">
        <v>1</v>
      </c>
      <c r="O36" s="22">
        <f t="shared" si="18"/>
        <v>73.641333333333336</v>
      </c>
      <c r="P36" s="14">
        <f t="shared" si="18"/>
        <v>585.7536470588235</v>
      </c>
      <c r="Q36" s="14">
        <f t="shared" si="18"/>
        <v>82.206823529411764</v>
      </c>
    </row>
    <row r="37" spans="1:17" thickTop="1" thickBot="1" x14ac:dyDescent="0.4">
      <c r="A37" s="28"/>
      <c r="B37" s="27"/>
      <c r="C37" s="27"/>
      <c r="D37" s="27"/>
      <c r="E37" s="27"/>
      <c r="F37" s="27"/>
      <c r="G37" s="10" t="s">
        <v>93</v>
      </c>
      <c r="H37" s="22">
        <f>H33+H45</f>
        <v>3931</v>
      </c>
      <c r="I37" s="22">
        <f t="shared" si="17"/>
        <v>468</v>
      </c>
      <c r="J37" s="22">
        <f t="shared" si="17"/>
        <v>1370</v>
      </c>
      <c r="K37" s="22">
        <f>K33+K45</f>
        <v>2552</v>
      </c>
      <c r="L37" s="23">
        <v>3.8</v>
      </c>
      <c r="M37" s="23">
        <v>-2.5</v>
      </c>
      <c r="N37" s="14">
        <v>1</v>
      </c>
      <c r="O37" s="22">
        <f t="shared" si="18"/>
        <v>36.677647058823524</v>
      </c>
      <c r="P37" s="14">
        <f t="shared" si="18"/>
        <v>606.31999999999994</v>
      </c>
      <c r="Q37" s="14">
        <f t="shared" si="18"/>
        <v>82.256470588235288</v>
      </c>
    </row>
    <row r="38" spans="1:17" thickTop="1" thickBot="1" x14ac:dyDescent="0.4">
      <c r="A38" s="28"/>
      <c r="B38" s="27"/>
      <c r="C38" s="27"/>
      <c r="D38" s="27"/>
      <c r="E38" s="27"/>
      <c r="F38" s="27"/>
      <c r="G38" s="10" t="s">
        <v>94</v>
      </c>
      <c r="H38" s="22">
        <f>H34+H46</f>
        <v>3765</v>
      </c>
      <c r="I38" s="22">
        <f t="shared" si="17"/>
        <v>553</v>
      </c>
      <c r="J38" s="22">
        <f t="shared" si="17"/>
        <v>1274</v>
      </c>
      <c r="K38" s="22">
        <f>K34+K46</f>
        <v>2387</v>
      </c>
      <c r="L38" s="23">
        <v>3.8</v>
      </c>
      <c r="M38" s="23">
        <v>-5.6</v>
      </c>
      <c r="N38" s="14">
        <v>1</v>
      </c>
      <c r="O38" s="22">
        <f t="shared" si="18"/>
        <v>48.404235294117647</v>
      </c>
      <c r="P38" s="14">
        <f t="shared" si="18"/>
        <v>536.81552941176471</v>
      </c>
      <c r="Q38" s="14">
        <f t="shared" si="18"/>
        <v>95.476235294117657</v>
      </c>
    </row>
    <row r="39" spans="1:17" ht="15.5" customHeight="1" thickTop="1" thickBot="1" x14ac:dyDescent="0.4">
      <c r="A39" s="28">
        <v>2025</v>
      </c>
      <c r="B39" s="24"/>
      <c r="C39" s="27"/>
      <c r="D39" s="27"/>
      <c r="E39" s="27"/>
      <c r="F39" s="27"/>
      <c r="G39" s="10" t="s">
        <v>91</v>
      </c>
      <c r="H39" s="12"/>
      <c r="I39" s="12"/>
      <c r="J39" s="22"/>
      <c r="K39" s="22"/>
      <c r="N39" s="22"/>
      <c r="O39" s="22"/>
      <c r="P39" s="22"/>
      <c r="Q39" s="22"/>
    </row>
    <row r="40" spans="1:17" ht="15.5" customHeight="1" thickTop="1" thickBot="1" x14ac:dyDescent="0.4">
      <c r="A40" s="28"/>
      <c r="B40" s="24"/>
      <c r="C40" s="27"/>
      <c r="D40" s="27"/>
      <c r="E40" s="27"/>
      <c r="F40" s="27"/>
      <c r="G40" s="10" t="s">
        <v>92</v>
      </c>
      <c r="H40" s="12"/>
      <c r="I40" s="12"/>
      <c r="J40" s="22"/>
      <c r="K40" s="22"/>
      <c r="N40" s="22"/>
      <c r="O40" s="22"/>
      <c r="P40" s="22"/>
      <c r="Q40" s="22"/>
    </row>
    <row r="41" spans="1:17" ht="15.5" customHeight="1" thickTop="1" thickBot="1" x14ac:dyDescent="0.4">
      <c r="A41" s="28"/>
      <c r="B41" s="24"/>
      <c r="C41" s="27"/>
      <c r="D41" s="27"/>
      <c r="E41" s="27"/>
      <c r="F41" s="27"/>
      <c r="G41" s="10" t="s">
        <v>93</v>
      </c>
      <c r="H41" s="12"/>
      <c r="I41" s="12"/>
      <c r="J41" s="22"/>
      <c r="K41" s="22"/>
      <c r="N41" s="22"/>
      <c r="O41" s="22"/>
      <c r="P41" s="22"/>
      <c r="Q41" s="22"/>
    </row>
    <row r="42" spans="1:17" ht="15.5" customHeight="1" thickTop="1" thickBot="1" x14ac:dyDescent="0.4">
      <c r="A42" s="28"/>
      <c r="B42" s="24"/>
      <c r="C42" s="27"/>
      <c r="D42" s="27"/>
      <c r="E42" s="27"/>
      <c r="F42" s="27"/>
      <c r="G42" s="10" t="s">
        <v>94</v>
      </c>
      <c r="H42" s="12"/>
      <c r="I42" s="12"/>
      <c r="J42" s="22"/>
      <c r="K42" s="22"/>
      <c r="N42" s="22"/>
      <c r="O42" s="22"/>
      <c r="P42" s="22"/>
      <c r="Q42" s="22"/>
    </row>
    <row r="43" spans="1:17" hidden="1" thickTop="1" thickBot="1" x14ac:dyDescent="0.4">
      <c r="A43" s="26" t="s">
        <v>110</v>
      </c>
      <c r="B43" s="27">
        <v>2.7080000000000002</v>
      </c>
      <c r="C43" s="27" t="s">
        <v>108</v>
      </c>
      <c r="D43" s="27">
        <v>2708</v>
      </c>
      <c r="E43" s="27">
        <v>210</v>
      </c>
      <c r="F43" s="27">
        <v>1915</v>
      </c>
      <c r="G43" s="10" t="s">
        <v>91</v>
      </c>
      <c r="H43" s="22">
        <v>698</v>
      </c>
      <c r="I43" s="22">
        <v>28</v>
      </c>
      <c r="J43" s="22">
        <v>685</v>
      </c>
      <c r="K43" s="22">
        <v>504</v>
      </c>
      <c r="N43" s="14"/>
      <c r="O43" s="22">
        <v>28</v>
      </c>
      <c r="P43" s="22">
        <v>504</v>
      </c>
      <c r="Q43" s="22">
        <v>50</v>
      </c>
    </row>
    <row r="44" spans="1:17" hidden="1" thickTop="1" thickBot="1" x14ac:dyDescent="0.4">
      <c r="A44" s="26"/>
      <c r="B44" s="27"/>
      <c r="C44" s="27"/>
      <c r="D44" s="27"/>
      <c r="E44" s="27"/>
      <c r="F44" s="27"/>
      <c r="G44" s="10" t="s">
        <v>92</v>
      </c>
      <c r="H44" s="22">
        <v>672</v>
      </c>
      <c r="I44" s="22">
        <v>47</v>
      </c>
      <c r="J44" s="22">
        <v>703</v>
      </c>
      <c r="K44" s="22">
        <v>476</v>
      </c>
      <c r="N44" s="14"/>
      <c r="O44" s="22">
        <v>47</v>
      </c>
      <c r="P44" s="22">
        <v>476</v>
      </c>
      <c r="Q44" s="22">
        <v>48</v>
      </c>
    </row>
    <row r="45" spans="1:17" hidden="1" thickTop="1" thickBot="1" x14ac:dyDescent="0.4">
      <c r="A45" s="26"/>
      <c r="B45" s="27"/>
      <c r="C45" s="27"/>
      <c r="D45" s="27"/>
      <c r="E45" s="27"/>
      <c r="F45" s="27"/>
      <c r="G45" s="10" t="s">
        <v>93</v>
      </c>
      <c r="H45" s="22">
        <v>698</v>
      </c>
      <c r="I45" s="22">
        <v>12</v>
      </c>
      <c r="J45" s="22">
        <v>680</v>
      </c>
      <c r="K45" s="22">
        <v>495</v>
      </c>
      <c r="N45" s="14"/>
      <c r="O45" s="22">
        <v>12</v>
      </c>
      <c r="P45" s="22">
        <v>495</v>
      </c>
      <c r="Q45" s="22">
        <v>48</v>
      </c>
    </row>
    <row r="46" spans="1:17" hidden="1" thickTop="1" thickBot="1" x14ac:dyDescent="0.4">
      <c r="A46" s="26"/>
      <c r="B46" s="27"/>
      <c r="C46" s="27"/>
      <c r="D46" s="27"/>
      <c r="E46" s="27"/>
      <c r="F46" s="27"/>
      <c r="G46" s="10" t="s">
        <v>94</v>
      </c>
      <c r="H46" s="22">
        <v>640</v>
      </c>
      <c r="I46" s="22">
        <v>22</v>
      </c>
      <c r="J46" s="22">
        <v>640</v>
      </c>
      <c r="K46" s="22">
        <f>F43-K45-K44-K43</f>
        <v>440</v>
      </c>
      <c r="N46" s="14"/>
      <c r="O46" s="22">
        <v>22</v>
      </c>
      <c r="P46" s="22">
        <v>440</v>
      </c>
      <c r="Q46" s="22">
        <v>64</v>
      </c>
    </row>
    <row r="48" spans="1:17" thickTop="1" thickBot="1" x14ac:dyDescent="0.4">
      <c r="F48"/>
      <c r="G48"/>
      <c r="N48"/>
    </row>
    <row r="49" spans="6:14" thickTop="1" thickBot="1" x14ac:dyDescent="0.4">
      <c r="F49"/>
      <c r="G49"/>
      <c r="N49"/>
    </row>
    <row r="50" spans="6:14" thickTop="1" thickBot="1" x14ac:dyDescent="0.4">
      <c r="F50"/>
      <c r="G50"/>
      <c r="N50"/>
    </row>
    <row r="51" spans="6:14" thickTop="1" thickBot="1" x14ac:dyDescent="0.4">
      <c r="F51"/>
      <c r="G51"/>
      <c r="N51"/>
    </row>
    <row r="52" spans="6:14" thickTop="1" thickBot="1" x14ac:dyDescent="0.4">
      <c r="F52"/>
      <c r="G52"/>
      <c r="N52"/>
    </row>
    <row r="53" spans="6:14" thickTop="1" thickBot="1" x14ac:dyDescent="0.4">
      <c r="F53"/>
      <c r="G53"/>
      <c r="N53"/>
    </row>
    <row r="54" spans="6:14" thickTop="1" thickBot="1" x14ac:dyDescent="0.4">
      <c r="F54"/>
      <c r="G54"/>
      <c r="N54"/>
    </row>
    <row r="55" spans="6:14" thickTop="1" thickBot="1" x14ac:dyDescent="0.4">
      <c r="F55"/>
      <c r="G55"/>
      <c r="N55"/>
    </row>
    <row r="56" spans="6:14" thickTop="1" thickBot="1" x14ac:dyDescent="0.4">
      <c r="F56"/>
      <c r="G56"/>
      <c r="N56"/>
    </row>
    <row r="57" spans="6:14" thickTop="1" thickBot="1" x14ac:dyDescent="0.4">
      <c r="F57"/>
      <c r="G57"/>
      <c r="N57"/>
    </row>
    <row r="58" spans="6:14" thickTop="1" thickBot="1" x14ac:dyDescent="0.4">
      <c r="F58"/>
      <c r="G58"/>
      <c r="N58"/>
    </row>
    <row r="59" spans="6:14" thickTop="1" thickBot="1" x14ac:dyDescent="0.4">
      <c r="F59"/>
      <c r="G59"/>
      <c r="N59"/>
    </row>
    <row r="60" spans="6:14" thickTop="1" thickBot="1" x14ac:dyDescent="0.4">
      <c r="F60"/>
      <c r="G60"/>
      <c r="N60"/>
    </row>
    <row r="61" spans="6:14" thickTop="1" thickBot="1" x14ac:dyDescent="0.4">
      <c r="F61"/>
      <c r="G61"/>
      <c r="N61"/>
    </row>
    <row r="62" spans="6:14" thickTop="1" thickBot="1" x14ac:dyDescent="0.4">
      <c r="F62"/>
      <c r="G62"/>
      <c r="N62"/>
    </row>
    <row r="63" spans="6:14" thickTop="1" thickBot="1" x14ac:dyDescent="0.4">
      <c r="F63"/>
      <c r="G63"/>
      <c r="N63"/>
    </row>
    <row r="64" spans="6:14" thickTop="1" thickBot="1" x14ac:dyDescent="0.4">
      <c r="F64"/>
      <c r="G64"/>
      <c r="N64"/>
    </row>
    <row r="65" spans="6:14" thickTop="1" thickBot="1" x14ac:dyDescent="0.4">
      <c r="F65"/>
      <c r="G65"/>
      <c r="N65"/>
    </row>
    <row r="66" spans="6:14" thickTop="1" thickBot="1" x14ac:dyDescent="0.4">
      <c r="F66"/>
      <c r="G66"/>
      <c r="N66"/>
    </row>
    <row r="67" spans="6:14" thickTop="1" thickBot="1" x14ac:dyDescent="0.4">
      <c r="F67"/>
      <c r="G67"/>
      <c r="N67"/>
    </row>
    <row r="68" spans="6:14" thickTop="1" thickBot="1" x14ac:dyDescent="0.4">
      <c r="F68"/>
      <c r="G68"/>
      <c r="N68"/>
    </row>
    <row r="69" spans="6:14" thickTop="1" thickBot="1" x14ac:dyDescent="0.4">
      <c r="F69"/>
      <c r="G69"/>
      <c r="N69"/>
    </row>
    <row r="70" spans="6:14" ht="14.5" x14ac:dyDescent="0.35"/>
    <row r="71" spans="6:14" ht="14.5" x14ac:dyDescent="0.35"/>
    <row r="72" spans="6:14" ht="14.5" x14ac:dyDescent="0.35"/>
    <row r="73" spans="6:14" ht="14.5" x14ac:dyDescent="0.35"/>
    <row r="74" spans="6:14" ht="14.5" x14ac:dyDescent="0.35"/>
    <row r="75" spans="6:14" ht="14.5" x14ac:dyDescent="0.35"/>
    <row r="76" spans="6:14" ht="14.5" x14ac:dyDescent="0.35"/>
    <row r="77" spans="6:14" ht="14.5" x14ac:dyDescent="0.35"/>
    <row r="78" spans="6:14" ht="14.5" x14ac:dyDescent="0.35"/>
    <row r="79" spans="6:14" ht="14.5" x14ac:dyDescent="0.35"/>
    <row r="80" spans="6:14" ht="14.5" x14ac:dyDescent="0.35"/>
    <row r="81" ht="14.5" x14ac:dyDescent="0.35"/>
  </sheetData>
  <mergeCells count="66">
    <mergeCell ref="A35:A38"/>
    <mergeCell ref="A43:A46"/>
    <mergeCell ref="F43:F46"/>
    <mergeCell ref="E43:E46"/>
    <mergeCell ref="D43:D46"/>
    <mergeCell ref="C43:C46"/>
    <mergeCell ref="B43:B46"/>
    <mergeCell ref="B35:B38"/>
    <mergeCell ref="C35:C38"/>
    <mergeCell ref="D35:D38"/>
    <mergeCell ref="E35:E38"/>
    <mergeCell ref="F35:F38"/>
    <mergeCell ref="F39:F42"/>
    <mergeCell ref="A39:A42"/>
    <mergeCell ref="F3:F6"/>
    <mergeCell ref="F7:F10"/>
    <mergeCell ref="F15:F18"/>
    <mergeCell ref="F19:F22"/>
    <mergeCell ref="F23:F26"/>
    <mergeCell ref="F11:F14"/>
    <mergeCell ref="D23:D26"/>
    <mergeCell ref="D27:D30"/>
    <mergeCell ref="D31:D34"/>
    <mergeCell ref="D39:D42"/>
    <mergeCell ref="E15:E18"/>
    <mergeCell ref="E19:E22"/>
    <mergeCell ref="E23:E26"/>
    <mergeCell ref="E27:E30"/>
    <mergeCell ref="E31:E34"/>
    <mergeCell ref="E39:E42"/>
    <mergeCell ref="D19:D22"/>
    <mergeCell ref="F27:F30"/>
    <mergeCell ref="F31:F34"/>
    <mergeCell ref="B39:B42"/>
    <mergeCell ref="C15:C18"/>
    <mergeCell ref="C19:C22"/>
    <mergeCell ref="C23:C26"/>
    <mergeCell ref="C27:C30"/>
    <mergeCell ref="C31:C34"/>
    <mergeCell ref="C39:C42"/>
    <mergeCell ref="B19:B22"/>
    <mergeCell ref="D15:D18"/>
    <mergeCell ref="B3:B6"/>
    <mergeCell ref="C3:C6"/>
    <mergeCell ref="C7:C10"/>
    <mergeCell ref="B23:B26"/>
    <mergeCell ref="A3:A6"/>
    <mergeCell ref="B7:B10"/>
    <mergeCell ref="C11:C14"/>
    <mergeCell ref="E7:E10"/>
    <mergeCell ref="E11:E14"/>
    <mergeCell ref="D3:D6"/>
    <mergeCell ref="D7:D10"/>
    <mergeCell ref="D11:D14"/>
    <mergeCell ref="E3:E6"/>
    <mergeCell ref="B11:B14"/>
    <mergeCell ref="A7:A10"/>
    <mergeCell ref="A11:A14"/>
    <mergeCell ref="A15:A18"/>
    <mergeCell ref="A31:A34"/>
    <mergeCell ref="A27:A30"/>
    <mergeCell ref="A23:A26"/>
    <mergeCell ref="A19:A22"/>
    <mergeCell ref="B15:B18"/>
    <mergeCell ref="B27:B30"/>
    <mergeCell ref="B31:B3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808D-204E-4827-A949-F3574A656FC1}">
  <dimension ref="A1:K7"/>
  <sheetViews>
    <sheetView workbookViewId="0">
      <selection activeCell="H2" sqref="H2"/>
    </sheetView>
  </sheetViews>
  <sheetFormatPr defaultRowHeight="14.5" x14ac:dyDescent="0.35"/>
  <cols>
    <col min="1" max="1" width="18.08984375" bestFit="1" customWidth="1"/>
    <col min="13" max="13" width="9.54296875" bestFit="1" customWidth="1"/>
    <col min="14" max="14" width="18.08984375" bestFit="1" customWidth="1"/>
    <col min="15" max="15" width="15.6328125" bestFit="1" customWidth="1"/>
    <col min="16" max="17" width="12.7265625" bestFit="1" customWidth="1"/>
  </cols>
  <sheetData>
    <row r="1" spans="1:11" ht="15" thickBot="1" x14ac:dyDescent="0.4">
      <c r="A1" s="64"/>
      <c r="B1" s="64">
        <v>2017</v>
      </c>
      <c r="C1" s="64">
        <v>2018</v>
      </c>
      <c r="D1" s="64">
        <v>2019</v>
      </c>
      <c r="E1" s="64">
        <v>2020</v>
      </c>
      <c r="F1" s="64">
        <v>2021</v>
      </c>
      <c r="G1" s="64">
        <v>2022</v>
      </c>
      <c r="H1" s="64">
        <v>2023</v>
      </c>
      <c r="I1" s="64">
        <v>2024</v>
      </c>
      <c r="J1" s="65" t="s">
        <v>168</v>
      </c>
      <c r="K1" s="65"/>
    </row>
    <row r="2" spans="1:11" ht="15.5" thickTop="1" thickBot="1" x14ac:dyDescent="0.4">
      <c r="A2" s="16" t="s">
        <v>97</v>
      </c>
      <c r="B2">
        <v>12.853999999999999</v>
      </c>
      <c r="C2">
        <v>13.547000000000001</v>
      </c>
      <c r="D2">
        <v>13.577999999999999</v>
      </c>
      <c r="E2">
        <v>13.77</v>
      </c>
      <c r="F2">
        <v>14.18</v>
      </c>
      <c r="G2">
        <v>15.32</v>
      </c>
      <c r="H2">
        <v>13.12</v>
      </c>
      <c r="I2">
        <v>15.46</v>
      </c>
    </row>
    <row r="3" spans="1:11" ht="15.5" thickTop="1" thickBot="1" x14ac:dyDescent="0.4">
      <c r="A3" s="17" t="s">
        <v>98</v>
      </c>
      <c r="B3">
        <v>1387</v>
      </c>
      <c r="C3">
        <v>1706</v>
      </c>
      <c r="D3">
        <v>1401</v>
      </c>
      <c r="E3">
        <v>1761</v>
      </c>
      <c r="F3">
        <v>1752</v>
      </c>
      <c r="G3">
        <v>1635</v>
      </c>
      <c r="H3">
        <v>1505</v>
      </c>
      <c r="I3">
        <v>1982</v>
      </c>
    </row>
    <row r="4" spans="1:11" ht="15.5" thickTop="1" thickBot="1" x14ac:dyDescent="0.4">
      <c r="A4" s="17" t="s">
        <v>99</v>
      </c>
      <c r="B4">
        <v>5222</v>
      </c>
      <c r="C4">
        <v>5203</v>
      </c>
      <c r="D4">
        <v>5029</v>
      </c>
      <c r="E4">
        <v>5433</v>
      </c>
      <c r="F4">
        <v>5123</v>
      </c>
      <c r="G4">
        <v>5280</v>
      </c>
      <c r="H4">
        <v>2736</v>
      </c>
      <c r="I4">
        <v>5408</v>
      </c>
    </row>
    <row r="5" spans="1:11" ht="15.5" thickTop="1" thickBot="1" x14ac:dyDescent="0.4">
      <c r="A5" s="17" t="s">
        <v>103</v>
      </c>
      <c r="B5">
        <v>732</v>
      </c>
      <c r="C5">
        <v>752</v>
      </c>
      <c r="D5">
        <v>676</v>
      </c>
      <c r="E5">
        <v>781</v>
      </c>
      <c r="F5">
        <v>541</v>
      </c>
      <c r="G5">
        <v>549</v>
      </c>
      <c r="H5">
        <v>633</v>
      </c>
      <c r="I5">
        <v>838</v>
      </c>
    </row>
    <row r="6" spans="1:11" ht="15.5" thickTop="1" thickBot="1" x14ac:dyDescent="0.4">
      <c r="A6" s="17" t="s">
        <v>107</v>
      </c>
      <c r="B6">
        <v>8155</v>
      </c>
      <c r="C6">
        <v>8821</v>
      </c>
      <c r="D6">
        <v>9197</v>
      </c>
      <c r="E6">
        <v>9043</v>
      </c>
      <c r="F6">
        <v>7929</v>
      </c>
      <c r="G6">
        <v>8842</v>
      </c>
      <c r="H6">
        <v>8839</v>
      </c>
      <c r="I6">
        <v>10119</v>
      </c>
    </row>
    <row r="7" spans="1:11" ht="15" thickTop="1" x14ac:dyDescent="0.35"/>
  </sheetData>
  <mergeCells count="1">
    <mergeCell ref="J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DEE3B278-5151-48B0-AB01-3091644BEFA4}">
          <x14:colorSeries rgb="FF376092"/>
          <x14:colorNegative rgb="FFD00000"/>
          <x14:colorAxis rgb="FF000000"/>
          <x14:colorMarkers theme="5"/>
          <x14:colorFirst rgb="FFD00000"/>
          <x14:colorLast rgb="FFD00000"/>
          <x14:colorHigh theme="5"/>
          <x14:colorLow rgb="FFD00000"/>
          <x14:sparklines>
            <x14:sparkline>
              <xm:f>Sparklines!B2:I2</xm:f>
              <xm:sqref>K2</xm:sqref>
            </x14:sparkline>
            <x14:sparkline>
              <xm:f>Sparklines!B3:I3</xm:f>
              <xm:sqref>K3</xm:sqref>
            </x14:sparkline>
            <x14:sparkline>
              <xm:f>Sparklines!B4:I4</xm:f>
              <xm:sqref>K4</xm:sqref>
            </x14:sparkline>
            <x14:sparkline>
              <xm:f>Sparklines!B5:I5</xm:f>
              <xm:sqref>K5</xm:sqref>
            </x14:sparkline>
            <x14:sparkline>
              <xm:f>Sparklines!B6:I6</xm:f>
              <xm:sqref>K6</xm:sqref>
            </x14:sparkline>
          </x14:sparklines>
        </x14:sparklineGroup>
        <x14:sparklineGroup type="column" displayEmptyCellsAs="gap" xr2:uid="{6B403EAB-B12F-4D02-B8E7-F69FEA97E0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Sparklines!B2:I2</xm:f>
              <xm:sqref>J2</xm:sqref>
            </x14:sparkline>
            <x14:sparkline>
              <xm:f>Sparklines!B3:I3</xm:f>
              <xm:sqref>J3</xm:sqref>
            </x14:sparkline>
            <x14:sparkline>
              <xm:f>Sparklines!B4:I4</xm:f>
              <xm:sqref>J4</xm:sqref>
            </x14:sparkline>
            <x14:sparkline>
              <xm:f>Sparklines!B5:I5</xm:f>
              <xm:sqref>J5</xm:sqref>
            </x14:sparkline>
            <x14:sparkline>
              <xm:f>Sparklines!B6:I6</xm:f>
              <xm:sqref>J6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DB2-D34F-441D-A555-4FD93CF63AD8}">
  <dimension ref="A1:L12"/>
  <sheetViews>
    <sheetView workbookViewId="0">
      <selection activeCell="B16" sqref="B16"/>
    </sheetView>
  </sheetViews>
  <sheetFormatPr defaultRowHeight="14.5" x14ac:dyDescent="0.35"/>
  <cols>
    <col min="1" max="1" width="16" bestFit="1" customWidth="1"/>
    <col min="2" max="2" width="8.36328125" style="31" bestFit="1" customWidth="1"/>
    <col min="3" max="3" width="16" bestFit="1" customWidth="1"/>
    <col min="4" max="4" width="5" style="31" bestFit="1" customWidth="1"/>
    <col min="5" max="5" width="16" customWidth="1"/>
    <col min="6" max="6" width="5.36328125" style="35" bestFit="1" customWidth="1"/>
    <col min="7" max="7" width="16" bestFit="1" customWidth="1"/>
    <col min="8" max="8" width="6.36328125" bestFit="1" customWidth="1"/>
    <col min="9" max="9" width="16" bestFit="1" customWidth="1"/>
    <col min="10" max="10" width="8.36328125" bestFit="1" customWidth="1"/>
    <col min="11" max="11" width="16" bestFit="1" customWidth="1"/>
    <col min="12" max="12" width="6.36328125" bestFit="1" customWidth="1"/>
  </cols>
  <sheetData>
    <row r="1" spans="1:12" ht="14.5" customHeight="1" x14ac:dyDescent="0.35">
      <c r="A1" s="39" t="s">
        <v>155</v>
      </c>
      <c r="B1" s="39"/>
      <c r="C1" s="39" t="s">
        <v>111</v>
      </c>
      <c r="D1" s="39"/>
      <c r="E1" s="39" t="s">
        <v>112</v>
      </c>
      <c r="F1" s="39"/>
      <c r="G1" s="39" t="s">
        <v>152</v>
      </c>
      <c r="H1" s="39"/>
      <c r="I1" s="39" t="s">
        <v>154</v>
      </c>
      <c r="J1" s="39"/>
      <c r="K1" s="39" t="s">
        <v>153</v>
      </c>
      <c r="L1" s="39"/>
    </row>
    <row r="2" spans="1:12" x14ac:dyDescent="0.35">
      <c r="A2" s="40" t="s">
        <v>132</v>
      </c>
      <c r="B2" s="42">
        <v>1232.3125</v>
      </c>
      <c r="C2" s="40" t="s">
        <v>132</v>
      </c>
      <c r="D2" s="42">
        <v>3.8500000000000005</v>
      </c>
      <c r="E2" s="40" t="s">
        <v>132</v>
      </c>
      <c r="F2" s="43">
        <v>-1.7750000000000001</v>
      </c>
      <c r="G2" s="40" t="s">
        <v>132</v>
      </c>
      <c r="H2" s="42">
        <v>37.427065409706984</v>
      </c>
      <c r="I2" s="40" t="s">
        <v>132</v>
      </c>
      <c r="J2" s="42">
        <v>240.94295424281623</v>
      </c>
      <c r="K2" s="40" t="s">
        <v>132</v>
      </c>
      <c r="L2" s="42">
        <v>62.669939770995981</v>
      </c>
    </row>
    <row r="3" spans="1:12" x14ac:dyDescent="0.35">
      <c r="A3" s="40" t="s">
        <v>133</v>
      </c>
      <c r="B3" s="42">
        <v>40.025632852988821</v>
      </c>
      <c r="C3" s="40" t="s">
        <v>133</v>
      </c>
      <c r="D3" s="42">
        <v>0.38224190111465023</v>
      </c>
      <c r="E3" s="40" t="s">
        <v>133</v>
      </c>
      <c r="F3" s="43">
        <v>0.56436518719365469</v>
      </c>
      <c r="G3" s="40" t="s">
        <v>133</v>
      </c>
      <c r="H3" s="42">
        <v>2.110330221473725</v>
      </c>
      <c r="I3" s="40" t="s">
        <v>133</v>
      </c>
      <c r="J3" s="42">
        <v>25.404587383482326</v>
      </c>
      <c r="K3" s="40" t="s">
        <v>133</v>
      </c>
      <c r="L3" s="42">
        <v>3.1326477532733703</v>
      </c>
    </row>
    <row r="4" spans="1:12" x14ac:dyDescent="0.35">
      <c r="A4" s="40" t="s">
        <v>134</v>
      </c>
      <c r="B4" s="41">
        <v>1303</v>
      </c>
      <c r="C4" s="40" t="s">
        <v>134</v>
      </c>
      <c r="D4" s="41">
        <v>3.8499999999999996</v>
      </c>
      <c r="E4" s="40" t="s">
        <v>134</v>
      </c>
      <c r="F4" s="40">
        <v>-2.2999999999999998</v>
      </c>
      <c r="G4" s="40" t="s">
        <v>134</v>
      </c>
      <c r="H4" s="42">
        <v>36.700585202706797</v>
      </c>
      <c r="I4" s="40" t="s">
        <v>134</v>
      </c>
      <c r="J4" s="42">
        <v>214.26880217820965</v>
      </c>
      <c r="K4" s="40" t="s">
        <v>134</v>
      </c>
      <c r="L4" s="42">
        <v>63.602150537634415</v>
      </c>
    </row>
    <row r="5" spans="1:12" x14ac:dyDescent="0.35">
      <c r="A5" s="40" t="s">
        <v>135</v>
      </c>
      <c r="B5" s="41">
        <v>1355</v>
      </c>
      <c r="C5" s="40" t="s">
        <v>135</v>
      </c>
      <c r="D5" s="41">
        <v>3.8</v>
      </c>
      <c r="E5" s="40" t="s">
        <v>135</v>
      </c>
      <c r="F5" s="40">
        <v>-1.5</v>
      </c>
      <c r="G5" s="40" t="s">
        <v>135</v>
      </c>
      <c r="H5" s="40" t="e">
        <v>#N/A</v>
      </c>
      <c r="I5" s="40" t="s">
        <v>135</v>
      </c>
      <c r="J5" s="40" t="e">
        <v>#N/A</v>
      </c>
      <c r="K5" s="40" t="s">
        <v>135</v>
      </c>
      <c r="L5" s="40" t="e">
        <v>#N/A</v>
      </c>
    </row>
    <row r="6" spans="1:12" x14ac:dyDescent="0.35">
      <c r="A6" s="40" t="s">
        <v>136</v>
      </c>
      <c r="B6" s="42">
        <v>226.41917129305165</v>
      </c>
      <c r="C6" s="40" t="s">
        <v>136</v>
      </c>
      <c r="D6" s="42">
        <v>2.1622867226544553</v>
      </c>
      <c r="E6" s="40" t="s">
        <v>136</v>
      </c>
      <c r="F6" s="42">
        <v>3.1925316074419885</v>
      </c>
      <c r="G6" s="40" t="s">
        <v>136</v>
      </c>
      <c r="H6" s="42">
        <v>11.937830481175837</v>
      </c>
      <c r="I6" s="40" t="s">
        <v>136</v>
      </c>
      <c r="J6" s="42">
        <v>143.71004809685252</v>
      </c>
      <c r="K6" s="40" t="s">
        <v>136</v>
      </c>
      <c r="L6" s="42">
        <v>17.720931755267223</v>
      </c>
    </row>
    <row r="7" spans="1:12" x14ac:dyDescent="0.35">
      <c r="A7" s="40" t="s">
        <v>137</v>
      </c>
      <c r="B7" s="42">
        <v>51265.641129032258</v>
      </c>
      <c r="C7" s="40" t="s">
        <v>137</v>
      </c>
      <c r="D7" s="42">
        <v>4.6754838709677458</v>
      </c>
      <c r="E7" s="40" t="s">
        <v>137</v>
      </c>
      <c r="F7" s="42">
        <v>10.192258064516126</v>
      </c>
      <c r="G7" s="40" t="s">
        <v>137</v>
      </c>
      <c r="H7" s="42">
        <v>142.51179659729092</v>
      </c>
      <c r="I7" s="40" t="s">
        <v>137</v>
      </c>
      <c r="J7" s="42">
        <v>20652.577923999663</v>
      </c>
      <c r="K7" s="40" t="s">
        <v>137</v>
      </c>
      <c r="L7" s="42">
        <v>314.03142227483829</v>
      </c>
    </row>
    <row r="8" spans="1:12" x14ac:dyDescent="0.35">
      <c r="A8" s="40" t="s">
        <v>138</v>
      </c>
      <c r="B8" s="42">
        <v>2.3383646983754818</v>
      </c>
      <c r="C8" s="40" t="s">
        <v>138</v>
      </c>
      <c r="D8" s="42">
        <v>-1.3682437920912514</v>
      </c>
      <c r="E8" s="40" t="s">
        <v>138</v>
      </c>
      <c r="F8" s="42">
        <v>1.6600735876493737</v>
      </c>
      <c r="G8" s="40" t="s">
        <v>138</v>
      </c>
      <c r="H8" s="42">
        <v>1.3523884313297505</v>
      </c>
      <c r="I8" s="40" t="s">
        <v>138</v>
      </c>
      <c r="J8" s="42">
        <v>2.6179575466381686</v>
      </c>
      <c r="K8" s="40" t="s">
        <v>138</v>
      </c>
      <c r="L8" s="42">
        <v>-0.94900954741191912</v>
      </c>
    </row>
    <row r="9" spans="1:12" x14ac:dyDescent="0.35">
      <c r="A9" s="40" t="s">
        <v>139</v>
      </c>
      <c r="B9" s="42">
        <v>-1.7729383223299273</v>
      </c>
      <c r="C9" s="40" t="s">
        <v>139</v>
      </c>
      <c r="D9" s="42">
        <v>8.990374854668591E-2</v>
      </c>
      <c r="E9" s="40" t="s">
        <v>139</v>
      </c>
      <c r="F9" s="42">
        <v>1.4055068216289137</v>
      </c>
      <c r="G9" s="40" t="s">
        <v>139</v>
      </c>
      <c r="H9" s="42">
        <v>0.6490046933421677</v>
      </c>
      <c r="I9" s="40" t="s">
        <v>139</v>
      </c>
      <c r="J9" s="42">
        <v>1.7000383004186121</v>
      </c>
      <c r="K9" s="40" t="s">
        <v>139</v>
      </c>
      <c r="L9" s="42">
        <v>-0.22310715383361104</v>
      </c>
    </row>
    <row r="10" spans="1:12" x14ac:dyDescent="0.35">
      <c r="A10" s="40" t="s">
        <v>140</v>
      </c>
      <c r="B10" s="41">
        <v>888</v>
      </c>
      <c r="C10" s="40" t="s">
        <v>140</v>
      </c>
      <c r="D10" s="41">
        <v>6.4</v>
      </c>
      <c r="E10" s="40" t="s">
        <v>140</v>
      </c>
      <c r="F10" s="40">
        <v>12.2</v>
      </c>
      <c r="G10" s="40" t="s">
        <v>140</v>
      </c>
      <c r="H10" s="42">
        <v>56.99133333333333</v>
      </c>
      <c r="I10" s="40" t="s">
        <v>140</v>
      </c>
      <c r="J10" s="42">
        <v>585.74338450502148</v>
      </c>
      <c r="K10" s="40" t="s">
        <v>140</v>
      </c>
      <c r="L10" s="42">
        <v>63.343765781922535</v>
      </c>
    </row>
    <row r="11" spans="1:12" x14ac:dyDescent="0.35">
      <c r="A11" s="40" t="s">
        <v>141</v>
      </c>
      <c r="B11" s="41">
        <v>666</v>
      </c>
      <c r="C11" s="40" t="s">
        <v>141</v>
      </c>
      <c r="D11" s="41">
        <v>0.8</v>
      </c>
      <c r="E11" s="40" t="s">
        <v>141</v>
      </c>
      <c r="F11" s="40">
        <v>-6</v>
      </c>
      <c r="G11" s="40" t="s">
        <v>141</v>
      </c>
      <c r="H11" s="40">
        <v>16.650000000000002</v>
      </c>
      <c r="I11" s="40" t="s">
        <v>141</v>
      </c>
      <c r="J11" s="42">
        <v>35.127439024390249</v>
      </c>
      <c r="K11" s="40" t="s">
        <v>141</v>
      </c>
      <c r="L11" s="42">
        <v>32.132469512195122</v>
      </c>
    </row>
    <row r="12" spans="1:12" x14ac:dyDescent="0.35">
      <c r="A12" s="40" t="s">
        <v>142</v>
      </c>
      <c r="B12" s="41">
        <v>1554</v>
      </c>
      <c r="C12" s="40" t="s">
        <v>142</v>
      </c>
      <c r="D12" s="41">
        <v>7.2</v>
      </c>
      <c r="E12" s="40" t="s">
        <v>142</v>
      </c>
      <c r="F12" s="40">
        <v>6.2</v>
      </c>
      <c r="G12" s="40" t="s">
        <v>142</v>
      </c>
      <c r="H12" s="42">
        <v>73.641333333333336</v>
      </c>
      <c r="I12" s="40" t="s">
        <v>142</v>
      </c>
      <c r="J12" s="42">
        <v>620.87082352941172</v>
      </c>
      <c r="K12" s="40" t="s">
        <v>142</v>
      </c>
      <c r="L12" s="42">
        <v>95.476235294117657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E82B-2E7B-4E7D-8168-EDC328581B67}">
  <dimension ref="A3:D36"/>
  <sheetViews>
    <sheetView topLeftCell="C1" workbookViewId="0">
      <selection activeCell="Q9" sqref="Q9"/>
    </sheetView>
  </sheetViews>
  <sheetFormatPr defaultRowHeight="14.5" x14ac:dyDescent="0.35"/>
  <cols>
    <col min="1" max="1" width="12.453125" bestFit="1" customWidth="1"/>
    <col min="2" max="2" width="17.26953125" bestFit="1" customWidth="1"/>
    <col min="3" max="3" width="23.90625" bestFit="1" customWidth="1"/>
    <col min="4" max="4" width="20.1796875" bestFit="1" customWidth="1"/>
  </cols>
  <sheetData>
    <row r="3" spans="1:4" x14ac:dyDescent="0.35">
      <c r="A3" s="30" t="s">
        <v>113</v>
      </c>
      <c r="B3" t="s">
        <v>166</v>
      </c>
      <c r="C3" t="s">
        <v>165</v>
      </c>
      <c r="D3" t="s">
        <v>167</v>
      </c>
    </row>
    <row r="4" spans="1:4" x14ac:dyDescent="0.35">
      <c r="A4" s="56">
        <v>1</v>
      </c>
      <c r="B4" s="49">
        <v>210.84674031429907</v>
      </c>
      <c r="C4" s="49">
        <v>28.274467091955813</v>
      </c>
      <c r="D4" s="49">
        <v>73.917535397541627</v>
      </c>
    </row>
    <row r="5" spans="1:4" x14ac:dyDescent="0.35">
      <c r="A5" s="56">
        <v>2</v>
      </c>
      <c r="B5" s="49">
        <v>197.97339349618795</v>
      </c>
      <c r="C5" s="49">
        <v>39.087054613349927</v>
      </c>
      <c r="D5" s="49">
        <v>74.316166173953633</v>
      </c>
    </row>
    <row r="6" spans="1:4" x14ac:dyDescent="0.35">
      <c r="A6" s="56">
        <v>3</v>
      </c>
      <c r="B6" s="49">
        <v>218.62999844406411</v>
      </c>
      <c r="C6" s="49">
        <v>35.10308075307298</v>
      </c>
      <c r="D6" s="49">
        <v>77.163528862610875</v>
      </c>
    </row>
    <row r="7" spans="1:4" x14ac:dyDescent="0.35">
      <c r="A7" s="56">
        <v>4</v>
      </c>
      <c r="B7" s="49">
        <v>176.11825112805352</v>
      </c>
      <c r="C7" s="49">
        <v>38.252372802240551</v>
      </c>
      <c r="D7" s="49">
        <v>71.981328769254702</v>
      </c>
    </row>
    <row r="8" spans="1:4" x14ac:dyDescent="0.35">
      <c r="A8" s="56">
        <v>5</v>
      </c>
      <c r="B8" s="49">
        <v>214.31305824167711</v>
      </c>
      <c r="C8" s="49">
        <v>50.860707167638587</v>
      </c>
      <c r="D8" s="49">
        <v>74.9946113530671</v>
      </c>
    </row>
    <row r="9" spans="1:4" x14ac:dyDescent="0.35">
      <c r="A9" s="56">
        <v>6</v>
      </c>
      <c r="B9" s="49">
        <v>207.04982652985902</v>
      </c>
      <c r="C9" s="49">
        <v>45.62604266627298</v>
      </c>
      <c r="D9" s="49">
        <v>72.385620432568103</v>
      </c>
    </row>
    <row r="10" spans="1:4" x14ac:dyDescent="0.35">
      <c r="A10" s="56">
        <v>7</v>
      </c>
      <c r="B10" s="49">
        <v>225.11921458625525</v>
      </c>
      <c r="C10" s="49">
        <v>38.877980364656381</v>
      </c>
      <c r="D10" s="49">
        <v>73.828892005610101</v>
      </c>
    </row>
    <row r="11" spans="1:4" x14ac:dyDescent="0.35">
      <c r="A11" s="56">
        <v>8</v>
      </c>
      <c r="B11" s="49">
        <v>200.31770871779727</v>
      </c>
      <c r="C11" s="49">
        <v>29.310400826751309</v>
      </c>
      <c r="D11" s="49">
        <v>67.61172215250609</v>
      </c>
    </row>
    <row r="12" spans="1:4" x14ac:dyDescent="0.35">
      <c r="A12" s="56">
        <v>9</v>
      </c>
      <c r="B12" s="49">
        <v>226.77308882015024</v>
      </c>
      <c r="C12" s="49">
        <v>35.776623950508174</v>
      </c>
      <c r="D12" s="49">
        <v>63.477684489615555</v>
      </c>
    </row>
    <row r="13" spans="1:4" x14ac:dyDescent="0.35">
      <c r="A13" s="56">
        <v>10</v>
      </c>
      <c r="B13" s="49">
        <v>210.44336426572397</v>
      </c>
      <c r="C13" s="49">
        <v>36.723523346590071</v>
      </c>
      <c r="D13" s="49">
        <v>62.531742524672261</v>
      </c>
    </row>
    <row r="14" spans="1:4" x14ac:dyDescent="0.35">
      <c r="A14" s="56">
        <v>11</v>
      </c>
      <c r="B14" s="49">
        <v>223.60877890705555</v>
      </c>
      <c r="C14" s="49">
        <v>24.793047576962735</v>
      </c>
      <c r="D14" s="49">
        <v>63.726616585653268</v>
      </c>
    </row>
    <row r="15" spans="1:4" x14ac:dyDescent="0.35">
      <c r="A15" s="56">
        <v>12</v>
      </c>
      <c r="B15" s="49">
        <v>191.51789659743704</v>
      </c>
      <c r="C15" s="49">
        <v>32.293415819708351</v>
      </c>
      <c r="D15" s="49">
        <v>60.639858594785686</v>
      </c>
    </row>
    <row r="16" spans="1:4" x14ac:dyDescent="0.35">
      <c r="A16" s="56">
        <v>13</v>
      </c>
      <c r="B16" s="49">
        <v>255.9529411764706</v>
      </c>
      <c r="C16" s="49">
        <v>51.800000000000004</v>
      </c>
      <c r="D16" s="49">
        <v>88.13899782135077</v>
      </c>
    </row>
    <row r="17" spans="1:4" x14ac:dyDescent="0.35">
      <c r="A17" s="56">
        <v>14</v>
      </c>
      <c r="B17" s="49">
        <v>237.83529411764704</v>
      </c>
      <c r="C17" s="49">
        <v>53.06201888162672</v>
      </c>
      <c r="D17" s="49">
        <v>81.900072621641243</v>
      </c>
    </row>
    <row r="18" spans="1:4" x14ac:dyDescent="0.35">
      <c r="A18" s="56">
        <v>15</v>
      </c>
      <c r="B18" s="49">
        <v>214.2245461147422</v>
      </c>
      <c r="C18" s="49">
        <v>39.518082788671023</v>
      </c>
      <c r="D18" s="49">
        <v>75.093972403776334</v>
      </c>
    </row>
    <row r="19" spans="1:4" x14ac:dyDescent="0.35">
      <c r="A19" s="56">
        <v>16</v>
      </c>
      <c r="B19" s="49">
        <v>183.8757443718228</v>
      </c>
      <c r="C19" s="49">
        <v>31.062817719680464</v>
      </c>
      <c r="D19" s="49">
        <v>63.013144517066081</v>
      </c>
    </row>
    <row r="20" spans="1:4" x14ac:dyDescent="0.35">
      <c r="A20" s="56">
        <v>17</v>
      </c>
      <c r="B20" s="49">
        <v>234.2970380818054</v>
      </c>
      <c r="C20" s="49">
        <v>45.735401974612138</v>
      </c>
      <c r="D20" s="49">
        <v>52.421297602256708</v>
      </c>
    </row>
    <row r="21" spans="1:4" x14ac:dyDescent="0.35">
      <c r="A21" s="56">
        <v>18</v>
      </c>
      <c r="B21" s="49">
        <v>219.62031029619183</v>
      </c>
      <c r="C21" s="49">
        <v>47.485472496473911</v>
      </c>
      <c r="D21" s="49">
        <v>50.971509167842036</v>
      </c>
    </row>
    <row r="22" spans="1:4" x14ac:dyDescent="0.35">
      <c r="A22" s="56">
        <v>19</v>
      </c>
      <c r="B22" s="49">
        <v>227.50641748942172</v>
      </c>
      <c r="C22" s="49">
        <v>41.390056417489426</v>
      </c>
      <c r="D22" s="49">
        <v>50.094005641748943</v>
      </c>
    </row>
    <row r="23" spans="1:4" x14ac:dyDescent="0.35">
      <c r="A23" s="56">
        <v>20</v>
      </c>
      <c r="B23" s="49">
        <v>56.086036671368127</v>
      </c>
      <c r="C23" s="49">
        <v>25.521861777150917</v>
      </c>
      <c r="D23" s="49">
        <v>41.967559943582515</v>
      </c>
    </row>
    <row r="24" spans="1:4" x14ac:dyDescent="0.35">
      <c r="A24" s="56">
        <v>21</v>
      </c>
      <c r="B24" s="49">
        <v>210.12748041775455</v>
      </c>
      <c r="C24" s="49">
        <v>43.229569190600515</v>
      </c>
      <c r="D24" s="49">
        <v>45.905287206266316</v>
      </c>
    </row>
    <row r="25" spans="1:4" x14ac:dyDescent="0.35">
      <c r="A25" s="56">
        <v>22</v>
      </c>
      <c r="B25" s="49">
        <v>238.35391644908617</v>
      </c>
      <c r="C25" s="49">
        <v>36.353133159268928</v>
      </c>
      <c r="D25" s="49">
        <v>48.091253263707571</v>
      </c>
    </row>
    <row r="26" spans="1:4" x14ac:dyDescent="0.35">
      <c r="A26" s="56">
        <v>23</v>
      </c>
      <c r="B26" s="49">
        <v>247.03100522193211</v>
      </c>
      <c r="C26" s="49">
        <v>32.548302872062663</v>
      </c>
      <c r="D26" s="49">
        <v>48.557114882506525</v>
      </c>
    </row>
    <row r="27" spans="1:4" x14ac:dyDescent="0.35">
      <c r="A27" s="56">
        <v>24</v>
      </c>
      <c r="B27" s="49">
        <v>69.264360313315933</v>
      </c>
      <c r="C27" s="49">
        <v>28.470626631853786</v>
      </c>
      <c r="D27" s="49">
        <v>46.657832898172323</v>
      </c>
    </row>
    <row r="28" spans="1:4" x14ac:dyDescent="0.35">
      <c r="A28" s="56">
        <v>25</v>
      </c>
      <c r="B28" s="49">
        <v>147.13391768292684</v>
      </c>
      <c r="C28" s="49">
        <v>17.90655487804878</v>
      </c>
      <c r="D28" s="49">
        <v>32.759679878048786</v>
      </c>
    </row>
    <row r="29" spans="1:4" x14ac:dyDescent="0.35">
      <c r="A29" s="56">
        <v>26</v>
      </c>
      <c r="B29" s="49">
        <v>145.92652439024391</v>
      </c>
      <c r="C29" s="49">
        <v>22.470960365853657</v>
      </c>
      <c r="D29" s="49">
        <v>34.110594512195121</v>
      </c>
    </row>
    <row r="30" spans="1:4" x14ac:dyDescent="0.35">
      <c r="A30" s="56">
        <v>27</v>
      </c>
      <c r="B30" s="49">
        <v>135.34024390243903</v>
      </c>
      <c r="C30" s="49">
        <v>21.583536585365856</v>
      </c>
      <c r="D30" s="49">
        <v>33.000914634146348</v>
      </c>
    </row>
    <row r="31" spans="1:4" x14ac:dyDescent="0.35">
      <c r="A31" s="56">
        <v>28</v>
      </c>
      <c r="B31" s="49">
        <v>35.127439024390249</v>
      </c>
      <c r="C31" s="49">
        <v>16.650000000000002</v>
      </c>
      <c r="D31" s="49">
        <v>32.132469512195122</v>
      </c>
    </row>
    <row r="32" spans="1:4" x14ac:dyDescent="0.35">
      <c r="A32" s="56">
        <v>29</v>
      </c>
      <c r="B32" s="49">
        <v>620.87082352941172</v>
      </c>
      <c r="C32" s="49">
        <v>49.175764705882358</v>
      </c>
      <c r="D32" s="49">
        <v>84.107529411764716</v>
      </c>
    </row>
    <row r="33" spans="1:4" x14ac:dyDescent="0.35">
      <c r="A33" s="56">
        <v>30</v>
      </c>
      <c r="B33" s="49">
        <v>585.7536470588235</v>
      </c>
      <c r="C33" s="49">
        <v>73.641333333333336</v>
      </c>
      <c r="D33" s="49">
        <v>82.206823529411764</v>
      </c>
    </row>
    <row r="34" spans="1:4" x14ac:dyDescent="0.35">
      <c r="A34" s="56">
        <v>31</v>
      </c>
      <c r="B34" s="49">
        <v>606.31999999999994</v>
      </c>
      <c r="C34" s="49">
        <v>36.677647058823524</v>
      </c>
      <c r="D34" s="49">
        <v>82.256470588235288</v>
      </c>
    </row>
    <row r="35" spans="1:4" x14ac:dyDescent="0.35">
      <c r="A35" s="56">
        <v>32</v>
      </c>
      <c r="B35" s="49">
        <v>536.81552941176471</v>
      </c>
      <c r="C35" s="49">
        <v>48.404235294117647</v>
      </c>
      <c r="D35" s="49">
        <v>95.476235294117657</v>
      </c>
    </row>
    <row r="36" spans="1:4" x14ac:dyDescent="0.35">
      <c r="A36" s="56" t="s">
        <v>114</v>
      </c>
      <c r="B36" s="49">
        <v>7710.1745357701193</v>
      </c>
      <c r="C36" s="49">
        <v>1197.6660931106235</v>
      </c>
      <c r="D36" s="49">
        <v>2005.4380726718714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EEC4-0D19-43D9-BB95-9C78FD50F885}">
  <dimension ref="A1:AA55"/>
  <sheetViews>
    <sheetView topLeftCell="K34" workbookViewId="0">
      <selection activeCell="W1" activeCellId="1" sqref="Q1:Q37 W1:W37"/>
    </sheetView>
  </sheetViews>
  <sheetFormatPr defaultRowHeight="14.5" x14ac:dyDescent="0.35"/>
  <cols>
    <col min="1" max="1" width="7.08984375" bestFit="1" customWidth="1"/>
    <col min="2" max="2" width="10.54296875" customWidth="1"/>
    <col min="3" max="4" width="8.7265625" customWidth="1"/>
    <col min="5" max="5" width="17.6328125" customWidth="1"/>
    <col min="6" max="6" width="10.453125" customWidth="1"/>
    <col min="7" max="7" width="13.6328125" customWidth="1"/>
    <col min="8" max="12" width="8.7265625" customWidth="1"/>
    <col min="13" max="13" width="11.90625" style="44" customWidth="1"/>
    <col min="14" max="14" width="14.26953125" bestFit="1" customWidth="1"/>
    <col min="15" max="15" width="14.26953125" customWidth="1"/>
    <col min="22" max="23" width="16.08984375" bestFit="1" customWidth="1"/>
    <col min="24" max="24" width="13.7265625" style="6" bestFit="1" customWidth="1"/>
    <col min="25" max="25" width="8.7265625" style="6"/>
  </cols>
  <sheetData>
    <row r="1" spans="1:27" x14ac:dyDescent="0.35">
      <c r="A1" s="54" t="s">
        <v>95</v>
      </c>
      <c r="B1" s="54" t="s">
        <v>144</v>
      </c>
      <c r="C1" s="54" t="s">
        <v>111</v>
      </c>
      <c r="D1" s="54" t="s">
        <v>112</v>
      </c>
      <c r="E1" s="54" t="s">
        <v>145</v>
      </c>
      <c r="F1" s="54" t="s">
        <v>146</v>
      </c>
      <c r="G1" s="54" t="s">
        <v>147</v>
      </c>
      <c r="H1" s="54" t="s">
        <v>148</v>
      </c>
      <c r="I1" s="54" t="s">
        <v>149</v>
      </c>
      <c r="J1" s="54" t="s">
        <v>150</v>
      </c>
      <c r="K1" s="54" t="s">
        <v>151</v>
      </c>
      <c r="L1" s="54"/>
      <c r="M1" s="55" t="s">
        <v>95</v>
      </c>
      <c r="N1" s="54" t="s">
        <v>161</v>
      </c>
      <c r="O1" s="54" t="s">
        <v>160</v>
      </c>
      <c r="P1" s="54" t="s">
        <v>159</v>
      </c>
      <c r="Q1" s="54" t="s">
        <v>158</v>
      </c>
      <c r="R1" s="54" t="s">
        <v>91</v>
      </c>
      <c r="S1" s="54" t="s">
        <v>92</v>
      </c>
      <c r="T1" s="54" t="s">
        <v>93</v>
      </c>
      <c r="U1" s="54" t="s">
        <v>94</v>
      </c>
      <c r="V1" s="54" t="s">
        <v>174</v>
      </c>
      <c r="W1" s="54" t="s">
        <v>175</v>
      </c>
      <c r="X1" s="66" t="s">
        <v>179</v>
      </c>
      <c r="Y1"/>
      <c r="Z1" s="66" t="s">
        <v>180</v>
      </c>
    </row>
    <row r="2" spans="1:27" x14ac:dyDescent="0.35">
      <c r="A2" s="46">
        <v>1</v>
      </c>
      <c r="B2" s="46">
        <v>1298</v>
      </c>
      <c r="C2" s="51">
        <v>1.2</v>
      </c>
      <c r="D2" s="51">
        <v>-0.5</v>
      </c>
      <c r="E2" s="49">
        <v>28.274467091955813</v>
      </c>
      <c r="F2" s="49">
        <v>210.84674031429907</v>
      </c>
      <c r="G2" s="49">
        <v>73.917535397541627</v>
      </c>
      <c r="H2" s="46">
        <v>0</v>
      </c>
      <c r="I2" s="50">
        <v>-0.7666885814958968</v>
      </c>
      <c r="J2" s="50">
        <v>0.63470678527964608</v>
      </c>
      <c r="K2" s="49">
        <v>-6.5990898108125362E-2</v>
      </c>
      <c r="M2" s="44">
        <v>42825</v>
      </c>
      <c r="P2" s="53">
        <f>B2-O2</f>
        <v>1298</v>
      </c>
      <c r="Q2" s="46">
        <f>B2-$R$3</f>
        <v>1245.1071428571429</v>
      </c>
      <c r="V2">
        <f>Y2+($Y$3*C2)+(D2*$Y$4)+($Y$5*E2)+($Y$6*F2)+($Y$7*G2)+($Y$8*H2)</f>
        <v>1282.0067518749026</v>
      </c>
      <c r="W2">
        <f>$AA$2+($AA$3*C2)+(K2*$AA$4)+($AA$5*H2)+($AA$6*F2)+($AA$7*D2)</f>
        <v>1265.276921425308</v>
      </c>
      <c r="X2" s="6" t="s">
        <v>176</v>
      </c>
      <c r="Y2" s="6">
        <v>790.58</v>
      </c>
      <c r="Z2" s="6" t="s">
        <v>176</v>
      </c>
      <c r="AA2" s="6">
        <v>1283.97</v>
      </c>
    </row>
    <row r="3" spans="1:27" x14ac:dyDescent="0.35">
      <c r="A3" s="46">
        <v>2</v>
      </c>
      <c r="B3" s="46">
        <v>1305</v>
      </c>
      <c r="C3" s="51">
        <v>1</v>
      </c>
      <c r="D3" s="51">
        <v>-0.8</v>
      </c>
      <c r="E3" s="49">
        <v>39.087054613349927</v>
      </c>
      <c r="F3" s="49">
        <v>197.97339349618795</v>
      </c>
      <c r="G3" s="49">
        <v>74.316166173953633</v>
      </c>
      <c r="H3" s="46">
        <v>0</v>
      </c>
      <c r="I3" s="50">
        <v>0.13905283763749959</v>
      </c>
      <c r="J3" s="50">
        <v>0.65720169592640254</v>
      </c>
      <c r="K3" s="49">
        <v>0.39812726678195109</v>
      </c>
      <c r="M3" s="44">
        <v>42916</v>
      </c>
      <c r="P3" s="52">
        <f>B3-O3</f>
        <v>1305</v>
      </c>
      <c r="Q3" s="46">
        <f>B3-$S$3</f>
        <v>1269.9821428571429</v>
      </c>
      <c r="R3" s="46">
        <f>AVERAGE(P6,P10,P14,P18,P22,P26,P30)</f>
        <v>52.892857142857146</v>
      </c>
      <c r="S3" s="46">
        <f>AVERAGE(P7,P11,P15,P19,P23,P27,P31)</f>
        <v>35.017857142857146</v>
      </c>
      <c r="T3" s="46">
        <f>AVERAGE(P8,P12,P16,P20,P24,P28,P32)</f>
        <v>15.339285714285714</v>
      </c>
      <c r="U3" s="46">
        <f>AVERAGE(P9,P13,P17,P21,P25,P29,P33)</f>
        <v>-94.678571428571431</v>
      </c>
      <c r="V3">
        <f t="shared" ref="V3:V37" si="0">Y3+($Y$3*C3)+(D3*$Y$4)+($Y$5*E3)+($Y$6*F3)+($Y$7*G3)+($Y$8*H3)</f>
        <v>542.57986706083705</v>
      </c>
      <c r="W3">
        <f t="shared" ref="W3:W37" si="1">$AA$2+($AA$3*C3)+(K3*$AA$4)+($AA$5*H3)+($AA$6*F3)+($AA$7*D3)</f>
        <v>1282.8879431668063</v>
      </c>
      <c r="X3" s="6" t="s">
        <v>111</v>
      </c>
      <c r="Y3" s="6">
        <v>30.986999999999998</v>
      </c>
      <c r="Z3" s="6" t="s">
        <v>176</v>
      </c>
      <c r="AA3" s="6">
        <v>13.619</v>
      </c>
    </row>
    <row r="4" spans="1:27" x14ac:dyDescent="0.35">
      <c r="A4" s="46">
        <v>3</v>
      </c>
      <c r="B4" s="46">
        <v>1355</v>
      </c>
      <c r="C4" s="51">
        <v>0.9</v>
      </c>
      <c r="D4" s="51">
        <v>-1.1000000000000001</v>
      </c>
      <c r="E4" s="49">
        <v>35.10308075307298</v>
      </c>
      <c r="F4" s="49">
        <v>218.62999844406411</v>
      </c>
      <c r="G4" s="49">
        <v>77.163528862610875</v>
      </c>
      <c r="H4" s="46">
        <v>0</v>
      </c>
      <c r="I4" s="50">
        <v>-0.19467395355450773</v>
      </c>
      <c r="J4" s="50">
        <v>0.81787962911752354</v>
      </c>
      <c r="K4" s="49">
        <v>0.31160283778150788</v>
      </c>
      <c r="M4" s="44">
        <v>43008</v>
      </c>
      <c r="P4" s="48">
        <f>B4-O4</f>
        <v>1355</v>
      </c>
      <c r="Q4" s="46">
        <f>B4-$T$3</f>
        <v>1339.6607142857142</v>
      </c>
      <c r="V4">
        <f t="shared" si="0"/>
        <v>508.74098938851728</v>
      </c>
      <c r="W4">
        <f t="shared" si="1"/>
        <v>1274.9523763036059</v>
      </c>
      <c r="X4" s="6" t="s">
        <v>112</v>
      </c>
      <c r="Y4" s="6">
        <v>-6.2610000000000001</v>
      </c>
      <c r="Z4" s="6" t="s">
        <v>111</v>
      </c>
      <c r="AA4" s="6">
        <v>39.49</v>
      </c>
    </row>
    <row r="5" spans="1:27" x14ac:dyDescent="0.35">
      <c r="A5" s="46">
        <v>4</v>
      </c>
      <c r="B5" s="46">
        <v>1264</v>
      </c>
      <c r="C5" s="51">
        <v>1.3</v>
      </c>
      <c r="D5" s="51">
        <v>-0.6</v>
      </c>
      <c r="E5" s="49">
        <v>38.252372802240551</v>
      </c>
      <c r="F5" s="49">
        <v>176.11825112805352</v>
      </c>
      <c r="G5" s="49">
        <v>71.981328769254702</v>
      </c>
      <c r="H5" s="46">
        <v>0</v>
      </c>
      <c r="I5" s="50">
        <v>6.913378388434531E-2</v>
      </c>
      <c r="J5" s="50">
        <v>0.52544579070968378</v>
      </c>
      <c r="K5" s="49">
        <v>0.29728978729701455</v>
      </c>
      <c r="M5" s="44">
        <v>43100</v>
      </c>
      <c r="P5" s="47">
        <f>B5-O5</f>
        <v>1264</v>
      </c>
      <c r="Q5" s="46">
        <f>B5-$U$3</f>
        <v>1358.6785714285713</v>
      </c>
      <c r="S5" t="s">
        <v>157</v>
      </c>
      <c r="T5">
        <v>-8.9960000000000004</v>
      </c>
      <c r="V5">
        <f t="shared" si="0"/>
        <v>512.8777725066127</v>
      </c>
      <c r="W5">
        <f t="shared" si="1"/>
        <v>1286.3410630266389</v>
      </c>
      <c r="X5" s="6" t="s">
        <v>143</v>
      </c>
      <c r="Y5" s="6">
        <v>1.5640000000000001</v>
      </c>
      <c r="Z5" s="6" t="s">
        <v>177</v>
      </c>
      <c r="AA5" s="6">
        <v>-552.9</v>
      </c>
    </row>
    <row r="6" spans="1:27" x14ac:dyDescent="0.35">
      <c r="A6" s="46">
        <v>5</v>
      </c>
      <c r="B6" s="46">
        <v>1351</v>
      </c>
      <c r="C6" s="51">
        <v>0.8</v>
      </c>
      <c r="D6" s="51">
        <v>-1.5</v>
      </c>
      <c r="E6" s="49">
        <v>50.860707167638587</v>
      </c>
      <c r="F6" s="49">
        <v>214.31305824167711</v>
      </c>
      <c r="G6" s="49">
        <v>74.9946113530671</v>
      </c>
      <c r="H6" s="46">
        <v>0</v>
      </c>
      <c r="I6" s="50">
        <v>1.1253000936069946</v>
      </c>
      <c r="J6" s="50">
        <v>0.6954866568123792</v>
      </c>
      <c r="K6" s="49">
        <v>0.91039337520968688</v>
      </c>
      <c r="M6" s="44">
        <v>43190</v>
      </c>
      <c r="N6" s="46">
        <f>AVERAGE(B2:B5)</f>
        <v>1305.5</v>
      </c>
      <c r="O6" s="46">
        <f>AVERAGE(N6:N7)</f>
        <v>1312.125</v>
      </c>
      <c r="P6" s="53">
        <f>B6-O6</f>
        <v>38.875</v>
      </c>
      <c r="Q6" s="46">
        <f>B6-$R$3</f>
        <v>1298.1071428571429</v>
      </c>
      <c r="S6" t="s">
        <v>156</v>
      </c>
      <c r="T6">
        <v>1386.1</v>
      </c>
      <c r="V6">
        <f t="shared" si="0"/>
        <v>526.0114665756256</v>
      </c>
      <c r="W6">
        <f t="shared" si="1"/>
        <v>1297.9339234178121</v>
      </c>
      <c r="X6" s="6" t="s">
        <v>171</v>
      </c>
      <c r="Y6" s="6">
        <v>-0.38400000000000001</v>
      </c>
      <c r="Z6" s="6" t="s">
        <v>178</v>
      </c>
      <c r="AA6" s="6">
        <v>-0.154</v>
      </c>
    </row>
    <row r="7" spans="1:27" x14ac:dyDescent="0.35">
      <c r="A7" s="46">
        <v>6</v>
      </c>
      <c r="B7" s="46">
        <v>1304</v>
      </c>
      <c r="C7" s="51">
        <v>1.1000000000000001</v>
      </c>
      <c r="D7" s="51">
        <v>-2</v>
      </c>
      <c r="E7" s="49">
        <v>45.62604266627298</v>
      </c>
      <c r="F7" s="49">
        <v>207.04982652985902</v>
      </c>
      <c r="G7" s="49">
        <v>72.385620432568103</v>
      </c>
      <c r="H7" s="46">
        <v>0</v>
      </c>
      <c r="I7" s="50">
        <v>0.68680630617887783</v>
      </c>
      <c r="J7" s="50">
        <v>0.54826014770269194</v>
      </c>
      <c r="K7" s="49">
        <v>0.61753322694078494</v>
      </c>
      <c r="M7" s="44">
        <v>43281</v>
      </c>
      <c r="N7" s="46">
        <f>AVERAGE(B3:B6)</f>
        <v>1318.75</v>
      </c>
      <c r="O7" s="46">
        <f>AVERAGE(N7:N8)</f>
        <v>1318.625</v>
      </c>
      <c r="P7" s="52">
        <f>B7-O7</f>
        <v>-14.625</v>
      </c>
      <c r="Q7" s="46">
        <f>B7-$S$3</f>
        <v>1268.9821428571429</v>
      </c>
      <c r="V7">
        <f t="shared" si="0"/>
        <v>522.80479219753454</v>
      </c>
      <c r="W7">
        <f t="shared" si="1"/>
        <v>1291.6136138462932</v>
      </c>
      <c r="X7" s="6" t="s">
        <v>172</v>
      </c>
      <c r="Y7" s="6">
        <v>6.6</v>
      </c>
      <c r="Z7" s="6" t="s">
        <v>171</v>
      </c>
      <c r="AA7" s="6">
        <v>-8.1000000000000003E-2</v>
      </c>
    </row>
    <row r="8" spans="1:27" x14ac:dyDescent="0.35">
      <c r="A8" s="46">
        <v>7</v>
      </c>
      <c r="B8" s="46">
        <v>1330</v>
      </c>
      <c r="C8" s="51">
        <v>1.4</v>
      </c>
      <c r="D8" s="51">
        <v>-2.2999999999999998</v>
      </c>
      <c r="E8" s="49">
        <v>38.877980364656381</v>
      </c>
      <c r="F8" s="49">
        <v>225.11921458625525</v>
      </c>
      <c r="G8" s="49">
        <v>73.828892005610101</v>
      </c>
      <c r="H8" s="46">
        <v>0</v>
      </c>
      <c r="I8" s="50">
        <v>0.12153924929971699</v>
      </c>
      <c r="J8" s="50">
        <v>0.62970459955060398</v>
      </c>
      <c r="K8" s="49">
        <v>0.37562192442516051</v>
      </c>
      <c r="M8" s="44">
        <v>43373</v>
      </c>
      <c r="N8" s="46">
        <f>AVERAGE(B4:B7)</f>
        <v>1318.5</v>
      </c>
      <c r="O8" s="46">
        <f>AVERAGE(N8:N9)</f>
        <v>1315.375</v>
      </c>
      <c r="P8" s="48">
        <f>B8-O8</f>
        <v>14.625</v>
      </c>
      <c r="Q8" s="46">
        <f>B8-$T$3</f>
        <v>1314.6607142857142</v>
      </c>
      <c r="V8">
        <f t="shared" si="0"/>
        <v>-38.387829873772716</v>
      </c>
      <c r="W8">
        <f t="shared" si="1"/>
        <v>1283.3878507492666</v>
      </c>
      <c r="X8" s="6" t="s">
        <v>173</v>
      </c>
      <c r="Y8" s="6">
        <v>-557.79999999999995</v>
      </c>
      <c r="Z8" s="6" t="s">
        <v>112</v>
      </c>
    </row>
    <row r="9" spans="1:27" x14ac:dyDescent="0.35">
      <c r="A9" s="46">
        <v>8</v>
      </c>
      <c r="B9" s="46">
        <v>1218</v>
      </c>
      <c r="C9" s="51">
        <v>1.6</v>
      </c>
      <c r="D9" s="51">
        <v>-1.9</v>
      </c>
      <c r="E9" s="49">
        <v>29.310400826751309</v>
      </c>
      <c r="F9" s="49">
        <v>200.31770871779727</v>
      </c>
      <c r="G9" s="49">
        <v>67.61172215250609</v>
      </c>
      <c r="H9" s="46">
        <v>0</v>
      </c>
      <c r="I9" s="50">
        <v>-0.67991119456373961</v>
      </c>
      <c r="J9" s="50">
        <v>0.27886696082113549</v>
      </c>
      <c r="K9" s="49">
        <v>-0.20052211687130206</v>
      </c>
      <c r="M9" s="44">
        <v>43465</v>
      </c>
      <c r="N9" s="46">
        <f>AVERAGE(B5:B8)</f>
        <v>1312.25</v>
      </c>
      <c r="O9" s="46">
        <f>AVERAGE(N9:N10)</f>
        <v>1306.5</v>
      </c>
      <c r="P9" s="47">
        <f>B9-O9</f>
        <v>-88.5</v>
      </c>
      <c r="Q9" s="46">
        <f>B9-$U$3</f>
        <v>1312.6785714285713</v>
      </c>
      <c r="V9">
        <f t="shared" si="0"/>
        <v>476.63193295194503</v>
      </c>
      <c r="W9">
        <f t="shared" si="1"/>
        <v>1267.1467544622117</v>
      </c>
    </row>
    <row r="10" spans="1:27" x14ac:dyDescent="0.35">
      <c r="A10" s="46">
        <v>9</v>
      </c>
      <c r="B10" s="46">
        <v>1275</v>
      </c>
      <c r="C10" s="51">
        <v>1.7</v>
      </c>
      <c r="D10" s="51">
        <v>-2.5</v>
      </c>
      <c r="E10" s="49">
        <v>35.776623950508174</v>
      </c>
      <c r="F10" s="49">
        <v>226.77308882015024</v>
      </c>
      <c r="G10" s="49">
        <v>63.477684489615555</v>
      </c>
      <c r="H10" s="46">
        <v>0</v>
      </c>
      <c r="I10" s="50">
        <v>-0.13825304872617478</v>
      </c>
      <c r="J10" s="50">
        <v>4.55813909660535E-2</v>
      </c>
      <c r="K10" s="49">
        <v>-4.6335828880060638E-2</v>
      </c>
      <c r="M10" s="44">
        <v>43555</v>
      </c>
      <c r="N10" s="46">
        <f>AVERAGE(B6:B9)</f>
        <v>1300.75</v>
      </c>
      <c r="O10" s="46">
        <f>AVERAGE(N10:N11)</f>
        <v>1291.25</v>
      </c>
      <c r="P10" s="53">
        <f>B10-O10</f>
        <v>-16.25</v>
      </c>
      <c r="Q10" s="46">
        <f>B10-$R$3</f>
        <v>1222.1071428571429</v>
      </c>
      <c r="V10">
        <f t="shared" si="0"/>
        <v>456.15689138311973</v>
      </c>
      <c r="W10">
        <f t="shared" si="1"/>
        <v>1270.5719424392232</v>
      </c>
    </row>
    <row r="11" spans="1:27" x14ac:dyDescent="0.35">
      <c r="A11" s="46">
        <v>10</v>
      </c>
      <c r="B11" s="46">
        <v>1256</v>
      </c>
      <c r="C11" s="51">
        <v>2</v>
      </c>
      <c r="D11" s="51">
        <v>-3</v>
      </c>
      <c r="E11" s="49">
        <v>36.723523346590071</v>
      </c>
      <c r="F11" s="49">
        <v>210.44336426572397</v>
      </c>
      <c r="G11" s="49">
        <v>62.531742524672261</v>
      </c>
      <c r="H11" s="46">
        <v>0</v>
      </c>
      <c r="I11" s="50">
        <v>-5.8933829243621817E-2</v>
      </c>
      <c r="J11" s="50">
        <v>-7.7985316027544401E-3</v>
      </c>
      <c r="K11" s="49">
        <v>-3.3366180423188133E-2</v>
      </c>
      <c r="M11" s="44">
        <v>43646</v>
      </c>
      <c r="N11" s="46">
        <f>AVERAGE(B7:B10)</f>
        <v>1281.75</v>
      </c>
      <c r="O11" s="46">
        <f>AVERAGE(N11:N12)</f>
        <v>1275.75</v>
      </c>
      <c r="P11" s="52">
        <f>B11-O11</f>
        <v>-19.75</v>
      </c>
      <c r="Q11" s="46">
        <f>B11-$S$3</f>
        <v>1220.9821428571429</v>
      </c>
      <c r="V11">
        <f t="shared" si="0"/>
        <v>470.09183929886575</v>
      </c>
      <c r="W11">
        <f t="shared" si="1"/>
        <v>1277.7250914381668</v>
      </c>
    </row>
    <row r="12" spans="1:27" x14ac:dyDescent="0.35">
      <c r="A12" s="46">
        <v>11</v>
      </c>
      <c r="B12" s="46">
        <v>1280</v>
      </c>
      <c r="C12" s="51">
        <v>2.2999999999999998</v>
      </c>
      <c r="D12" s="51">
        <v>-2.8</v>
      </c>
      <c r="E12" s="49">
        <v>24.793047576962735</v>
      </c>
      <c r="F12" s="49">
        <v>223.60877890705555</v>
      </c>
      <c r="G12" s="49">
        <v>63.726616585653268</v>
      </c>
      <c r="H12" s="46">
        <v>0</v>
      </c>
      <c r="I12" s="50">
        <v>-1.0583177448085066</v>
      </c>
      <c r="J12" s="50">
        <v>5.9628739010476849E-2</v>
      </c>
      <c r="K12" s="49">
        <v>-0.49934450289901489</v>
      </c>
      <c r="M12" s="44">
        <v>43738</v>
      </c>
      <c r="N12" s="46">
        <f>AVERAGE(B8:B11)</f>
        <v>1269.75</v>
      </c>
      <c r="O12" s="46">
        <f>AVERAGE(N12:N13)</f>
        <v>1263.5</v>
      </c>
      <c r="P12" s="48">
        <f>B12-O12</f>
        <v>16.5</v>
      </c>
      <c r="Q12" s="46">
        <f>B12-$T$3</f>
        <v>1264.6607142857142</v>
      </c>
      <c r="V12">
        <f t="shared" si="0"/>
        <v>462.30712477537196</v>
      </c>
      <c r="W12">
        <f t="shared" si="1"/>
        <v>1261.3656336288311</v>
      </c>
    </row>
    <row r="13" spans="1:27" x14ac:dyDescent="0.35">
      <c r="A13" s="46">
        <v>12</v>
      </c>
      <c r="B13" s="46">
        <v>1218</v>
      </c>
      <c r="C13" s="51">
        <v>2.5</v>
      </c>
      <c r="D13" s="51">
        <v>-2.2000000000000002</v>
      </c>
      <c r="E13" s="49">
        <v>32.293415819708351</v>
      </c>
      <c r="F13" s="49">
        <v>191.51789659743704</v>
      </c>
      <c r="G13" s="49">
        <v>60.639858594785686</v>
      </c>
      <c r="H13" s="46">
        <v>0</v>
      </c>
      <c r="I13" s="50">
        <v>-0.43003203958153335</v>
      </c>
      <c r="J13" s="50">
        <v>-0.11455837674036952</v>
      </c>
      <c r="K13" s="49">
        <v>-0.27229520816095143</v>
      </c>
      <c r="M13" s="44">
        <v>43830</v>
      </c>
      <c r="N13" s="46">
        <f>AVERAGE(B9:B12)</f>
        <v>1257.25</v>
      </c>
      <c r="O13" s="46">
        <f>AVERAGE(N13:N14)</f>
        <v>1257.25</v>
      </c>
      <c r="P13" s="47">
        <f>B13-O13</f>
        <v>-39.25</v>
      </c>
      <c r="Q13" s="46">
        <f>B13-$U$3</f>
        <v>1312.6785714285713</v>
      </c>
      <c r="V13">
        <f t="shared" si="0"/>
        <v>468.42879677419353</v>
      </c>
      <c r="W13">
        <f t="shared" si="1"/>
        <v>1277.9490061537185</v>
      </c>
    </row>
    <row r="14" spans="1:27" x14ac:dyDescent="0.35">
      <c r="A14" s="46">
        <v>13</v>
      </c>
      <c r="B14" s="46">
        <v>1554</v>
      </c>
      <c r="C14" s="51">
        <v>3.5</v>
      </c>
      <c r="D14" s="51">
        <v>5.8</v>
      </c>
      <c r="E14" s="49">
        <v>51.800000000000004</v>
      </c>
      <c r="F14" s="49">
        <v>255.9529411764706</v>
      </c>
      <c r="G14" s="49">
        <v>88.13899782135077</v>
      </c>
      <c r="H14" s="46">
        <v>0</v>
      </c>
      <c r="I14" s="50">
        <v>1.203982131674342</v>
      </c>
      <c r="J14" s="50">
        <v>1.4372301864310595</v>
      </c>
      <c r="K14" s="49">
        <v>1.3206061590527007</v>
      </c>
      <c r="M14" s="44">
        <v>43921</v>
      </c>
      <c r="N14" s="46">
        <f>AVERAGE(B10:B13)</f>
        <v>1257.25</v>
      </c>
      <c r="O14" s="46">
        <f>AVERAGE(N14:N15)</f>
        <v>1292.125</v>
      </c>
      <c r="P14" s="53">
        <f>B14-O14</f>
        <v>261.875</v>
      </c>
      <c r="Q14" s="46">
        <f>B14-$R$3</f>
        <v>1501.1071428571429</v>
      </c>
      <c r="V14">
        <f t="shared" si="0"/>
        <v>636.58735620915036</v>
      </c>
      <c r="W14">
        <f t="shared" si="1"/>
        <v>1343.9006842798146</v>
      </c>
    </row>
    <row r="15" spans="1:27" x14ac:dyDescent="0.35">
      <c r="A15" s="46">
        <v>14</v>
      </c>
      <c r="B15" s="46">
        <v>1444</v>
      </c>
      <c r="C15" s="51">
        <v>3.8</v>
      </c>
      <c r="D15" s="51">
        <v>6.2</v>
      </c>
      <c r="E15" s="49">
        <v>53.06201888162672</v>
      </c>
      <c r="F15" s="49">
        <v>237.83529411764704</v>
      </c>
      <c r="G15" s="49">
        <v>81.900072621641243</v>
      </c>
      <c r="H15" s="46">
        <v>0</v>
      </c>
      <c r="I15" s="50">
        <v>1.3096980641979885</v>
      </c>
      <c r="J15" s="50">
        <v>1.0851648838910213</v>
      </c>
      <c r="K15" s="49">
        <v>1.1974314740445049</v>
      </c>
      <c r="M15" s="44">
        <v>44012</v>
      </c>
      <c r="N15" s="46">
        <f>AVERAGE(B11:B14)</f>
        <v>1327</v>
      </c>
      <c r="O15" s="46">
        <f>AVERAGE(N15:N16)</f>
        <v>1350.5</v>
      </c>
      <c r="P15" s="52">
        <f>B15-O15</f>
        <v>93.5</v>
      </c>
      <c r="Q15" s="46">
        <f>B15-$S$3</f>
        <v>1408.9821428571429</v>
      </c>
      <c r="V15">
        <f t="shared" si="0"/>
        <v>611.13312389251985</v>
      </c>
      <c r="W15">
        <f t="shared" si="1"/>
        <v>1345.8799336158997</v>
      </c>
    </row>
    <row r="16" spans="1:27" x14ac:dyDescent="0.35">
      <c r="A16" s="46">
        <v>15</v>
      </c>
      <c r="B16" s="46">
        <v>1324</v>
      </c>
      <c r="C16" s="51">
        <v>4</v>
      </c>
      <c r="D16" s="51">
        <v>5.5</v>
      </c>
      <c r="E16" s="49">
        <v>39.518082788671023</v>
      </c>
      <c r="F16" s="49">
        <v>214.2245461147422</v>
      </c>
      <c r="G16" s="49">
        <v>75.093972403776334</v>
      </c>
      <c r="H16" s="46">
        <v>0</v>
      </c>
      <c r="I16" s="50">
        <v>0.175158910344828</v>
      </c>
      <c r="J16" s="50">
        <v>0.70109364475643587</v>
      </c>
      <c r="K16" s="49">
        <v>0.43812627755063194</v>
      </c>
      <c r="M16" s="44">
        <v>44104</v>
      </c>
      <c r="N16" s="46">
        <f>AVERAGE(B12:B15)</f>
        <v>1374</v>
      </c>
      <c r="O16" s="46">
        <f>AVERAGE(N16:N17)</f>
        <v>1379.5</v>
      </c>
      <c r="P16" s="48">
        <f>B16-O16</f>
        <v>-55.5</v>
      </c>
      <c r="Q16" s="46">
        <f>B16-$T$3</f>
        <v>1308.6607142857142</v>
      </c>
      <c r="V16">
        <f t="shared" si="0"/>
        <v>564.67677363834423</v>
      </c>
      <c r="W16">
        <f t="shared" si="1"/>
        <v>1322.311526598804</v>
      </c>
    </row>
    <row r="17" spans="1:23" x14ac:dyDescent="0.35">
      <c r="A17" s="46">
        <v>16</v>
      </c>
      <c r="B17" s="46">
        <v>1111</v>
      </c>
      <c r="C17" s="51">
        <v>4.2</v>
      </c>
      <c r="D17" s="51">
        <v>4.9000000000000004</v>
      </c>
      <c r="E17" s="49">
        <v>31.062817719680464</v>
      </c>
      <c r="F17" s="49">
        <v>183.8757443718228</v>
      </c>
      <c r="G17" s="49">
        <v>63.013144517066081</v>
      </c>
      <c r="H17" s="46">
        <v>0</v>
      </c>
      <c r="I17" s="50">
        <v>-0.53311593761211395</v>
      </c>
      <c r="J17" s="50">
        <v>1.936719529254452E-2</v>
      </c>
      <c r="K17" s="49">
        <v>-0.25687437115978473</v>
      </c>
      <c r="M17" s="44">
        <v>44196</v>
      </c>
      <c r="N17" s="46">
        <f>AVERAGE(B13:B16)</f>
        <v>1385</v>
      </c>
      <c r="O17" s="46">
        <f>AVERAGE(N17:N18)</f>
        <v>1371.625</v>
      </c>
      <c r="P17" s="47">
        <f>B17-O17</f>
        <v>-260.625</v>
      </c>
      <c r="Q17" s="46">
        <f>B17-$U$3</f>
        <v>1205.6785714285713</v>
      </c>
      <c r="V17">
        <f t="shared" si="0"/>
        <v>493.32721488743641</v>
      </c>
      <c r="W17">
        <f t="shared" si="1"/>
        <v>1302.3120664496394</v>
      </c>
    </row>
    <row r="18" spans="1:23" x14ac:dyDescent="0.35">
      <c r="A18" s="46">
        <v>17</v>
      </c>
      <c r="B18" s="46">
        <v>1374</v>
      </c>
      <c r="C18" s="51">
        <v>4.5</v>
      </c>
      <c r="D18" s="51">
        <v>-1.2</v>
      </c>
      <c r="E18" s="49">
        <v>45.735401974612138</v>
      </c>
      <c r="F18" s="49">
        <v>234.2970380818054</v>
      </c>
      <c r="G18" s="49">
        <v>52.421297602256708</v>
      </c>
      <c r="H18" s="46">
        <v>0</v>
      </c>
      <c r="I18" s="50">
        <v>0.69596704175068891</v>
      </c>
      <c r="J18" s="50">
        <v>-0.57833540077219892</v>
      </c>
      <c r="K18" s="49">
        <v>5.8815820489245003E-2</v>
      </c>
      <c r="M18" s="44">
        <v>44286</v>
      </c>
      <c r="N18" s="46">
        <f>AVERAGE(B14:B17)</f>
        <v>1358.25</v>
      </c>
      <c r="O18" s="46">
        <f>AVERAGE(N18:N19)</f>
        <v>1335.75</v>
      </c>
      <c r="P18" s="53">
        <f>B18-O18</f>
        <v>38.25</v>
      </c>
      <c r="Q18" s="46">
        <f>B18-$R$3</f>
        <v>1321.1071428571429</v>
      </c>
      <c r="V18">
        <f t="shared" si="0"/>
        <v>474.49537023977439</v>
      </c>
      <c r="W18">
        <f t="shared" si="1"/>
        <v>1311.5935928865222</v>
      </c>
    </row>
    <row r="19" spans="1:23" x14ac:dyDescent="0.35">
      <c r="A19" s="46">
        <v>18</v>
      </c>
      <c r="B19" s="46">
        <v>1336</v>
      </c>
      <c r="C19" s="51">
        <v>5</v>
      </c>
      <c r="D19" s="51">
        <v>-1.5</v>
      </c>
      <c r="E19" s="49">
        <v>47.485472496473911</v>
      </c>
      <c r="F19" s="49">
        <v>219.62031029619183</v>
      </c>
      <c r="G19" s="49">
        <v>50.971509167842036</v>
      </c>
      <c r="H19" s="46">
        <v>0</v>
      </c>
      <c r="I19" s="50">
        <v>0.84256574949925112</v>
      </c>
      <c r="J19" s="50">
        <v>-0.66014760198355715</v>
      </c>
      <c r="K19" s="49">
        <v>9.1209073757846981E-2</v>
      </c>
      <c r="M19" s="44">
        <v>44377</v>
      </c>
      <c r="N19" s="46">
        <f>AVERAGE(B15:B18)</f>
        <v>1313.25</v>
      </c>
      <c r="O19" s="46">
        <f>AVERAGE(N19:N20)</f>
        <v>1299.75</v>
      </c>
      <c r="P19" s="52">
        <f>B19-O19</f>
        <v>36.25</v>
      </c>
      <c r="Q19" s="46">
        <f>B19-$S$3</f>
        <v>1300.9821428571429</v>
      </c>
      <c r="V19">
        <f t="shared" si="0"/>
        <v>490.671540338505</v>
      </c>
      <c r="W19">
        <f t="shared" si="1"/>
        <v>1321.9668185370838</v>
      </c>
    </row>
    <row r="20" spans="1:23" x14ac:dyDescent="0.35">
      <c r="A20" s="46">
        <v>19</v>
      </c>
      <c r="B20" s="46">
        <v>1313</v>
      </c>
      <c r="C20" s="51">
        <v>5.3</v>
      </c>
      <c r="D20" s="51">
        <v>-2</v>
      </c>
      <c r="E20" s="49">
        <v>41.390056417489426</v>
      </c>
      <c r="F20" s="49">
        <v>227.50641748942172</v>
      </c>
      <c r="G20" s="49">
        <v>50.094005641748943</v>
      </c>
      <c r="H20" s="46">
        <v>0</v>
      </c>
      <c r="I20" s="50">
        <v>0.33196911398863282</v>
      </c>
      <c r="J20" s="50">
        <v>-0.70966551324306371</v>
      </c>
      <c r="K20" s="49">
        <v>-0.18884819962721544</v>
      </c>
      <c r="M20" s="44">
        <v>44469</v>
      </c>
      <c r="N20" s="46">
        <f>AVERAGE(B16:B19)</f>
        <v>1286.25</v>
      </c>
      <c r="O20" s="46">
        <f>AVERAGE(N20:N21)</f>
        <v>1284.875</v>
      </c>
      <c r="P20" s="48">
        <f>B20-O20</f>
        <v>28.125</v>
      </c>
      <c r="Q20" s="46">
        <f>B20-$T$3</f>
        <v>1297.6607142857142</v>
      </c>
      <c r="V20">
        <f t="shared" si="0"/>
        <v>484.74512115655853</v>
      </c>
      <c r="W20">
        <f t="shared" si="1"/>
        <v>1313.8190963033503</v>
      </c>
    </row>
    <row r="21" spans="1:23" x14ac:dyDescent="0.35">
      <c r="A21" s="46">
        <v>20</v>
      </c>
      <c r="B21" s="46">
        <v>1100</v>
      </c>
      <c r="C21" s="51">
        <v>5.5</v>
      </c>
      <c r="D21" s="51">
        <v>-2.2999999999999998</v>
      </c>
      <c r="E21" s="49">
        <v>25.521861777150917</v>
      </c>
      <c r="F21" s="49">
        <v>56.086036671368127</v>
      </c>
      <c r="G21" s="49">
        <v>41.967559943582515</v>
      </c>
      <c r="H21" s="46">
        <v>0</v>
      </c>
      <c r="I21" s="50">
        <v>-0.99726693651152065</v>
      </c>
      <c r="J21" s="50">
        <v>-1.1682444305593604</v>
      </c>
      <c r="K21" s="49">
        <v>-1.0827556835354406</v>
      </c>
      <c r="M21" s="44">
        <v>44561</v>
      </c>
      <c r="N21" s="46">
        <f>AVERAGE(B17:B20)</f>
        <v>1283.5</v>
      </c>
      <c r="O21" s="46">
        <f>AVERAGE(N21:N22)</f>
        <v>1282.125</v>
      </c>
      <c r="P21" s="47">
        <f>B21-O21</f>
        <v>-182.125</v>
      </c>
      <c r="Q21" s="46">
        <f>B21-$U$3</f>
        <v>1194.6785714285713</v>
      </c>
      <c r="V21">
        <f t="shared" si="0"/>
        <v>480.19384936530327</v>
      </c>
      <c r="W21">
        <f t="shared" si="1"/>
        <v>1307.6655284097949</v>
      </c>
    </row>
    <row r="22" spans="1:23" x14ac:dyDescent="0.35">
      <c r="A22" s="46">
        <v>21</v>
      </c>
      <c r="B22" s="46">
        <v>1281</v>
      </c>
      <c r="C22" s="51">
        <v>6.2</v>
      </c>
      <c r="D22" s="51">
        <v>-3.5</v>
      </c>
      <c r="E22" s="49">
        <v>43.229569190600515</v>
      </c>
      <c r="F22" s="49">
        <v>210.12748041775455</v>
      </c>
      <c r="G22" s="49">
        <v>45.905287206266316</v>
      </c>
      <c r="H22" s="46">
        <v>0</v>
      </c>
      <c r="I22" s="50">
        <v>0.48606015892445464</v>
      </c>
      <c r="J22" s="50">
        <v>-0.94603674322862041</v>
      </c>
      <c r="K22" s="49">
        <v>-0.22998829215208288</v>
      </c>
      <c r="M22" s="44">
        <v>44651</v>
      </c>
      <c r="N22" s="46">
        <f>AVERAGE(B18:B21)</f>
        <v>1280.75</v>
      </c>
      <c r="O22" s="46">
        <f>AVERAGE(N22:N23)</f>
        <v>1269.125</v>
      </c>
      <c r="P22" s="53">
        <f>B22-O22</f>
        <v>11.875</v>
      </c>
      <c r="Q22" s="46">
        <f>B22-$R$3</f>
        <v>1228.1071428571429</v>
      </c>
      <c r="V22">
        <f t="shared" si="0"/>
        <v>503.92988929503906</v>
      </c>
      <c r="W22">
        <f t="shared" si="1"/>
        <v>1327.2494303585802</v>
      </c>
    </row>
    <row r="23" spans="1:23" x14ac:dyDescent="0.35">
      <c r="A23" s="46">
        <v>22</v>
      </c>
      <c r="B23" s="46">
        <v>1342</v>
      </c>
      <c r="C23" s="51">
        <v>6.5</v>
      </c>
      <c r="D23" s="51">
        <v>-4</v>
      </c>
      <c r="E23" s="49">
        <v>36.353133159268928</v>
      </c>
      <c r="F23" s="49">
        <v>238.35391644908617</v>
      </c>
      <c r="G23" s="49">
        <v>48.091253263707571</v>
      </c>
      <c r="H23" s="46">
        <v>0</v>
      </c>
      <c r="I23" s="50">
        <v>-8.9960420541361552E-2</v>
      </c>
      <c r="J23" s="50">
        <v>-0.82268171384132449</v>
      </c>
      <c r="K23" s="49">
        <v>-0.45632106719134302</v>
      </c>
      <c r="M23" s="44">
        <v>44742</v>
      </c>
      <c r="N23" s="46">
        <f>AVERAGE(B19:B22)</f>
        <v>1257.5</v>
      </c>
      <c r="O23" s="46">
        <f>AVERAGE(N23:N24)</f>
        <v>1258.25</v>
      </c>
      <c r="P23" s="52">
        <f>B23-O23</f>
        <v>83.75</v>
      </c>
      <c r="Q23" s="46">
        <f>B23-$S$3</f>
        <v>1306.9821428571429</v>
      </c>
      <c r="V23">
        <f t="shared" si="0"/>
        <v>509.19016788511743</v>
      </c>
      <c r="W23">
        <f t="shared" si="1"/>
        <v>1318.0908779234549</v>
      </c>
    </row>
    <row r="24" spans="1:23" x14ac:dyDescent="0.35">
      <c r="A24" s="46">
        <v>23</v>
      </c>
      <c r="B24" s="46">
        <v>1355</v>
      </c>
      <c r="C24" s="51">
        <v>6.8</v>
      </c>
      <c r="D24" s="51">
        <v>-4.2</v>
      </c>
      <c r="E24" s="49">
        <v>32.548302872062663</v>
      </c>
      <c r="F24" s="49">
        <v>247.03100522193211</v>
      </c>
      <c r="G24" s="49">
        <v>48.557114882506525</v>
      </c>
      <c r="H24" s="46">
        <v>0</v>
      </c>
      <c r="I24" s="50">
        <v>-0.40868083571277075</v>
      </c>
      <c r="J24" s="50">
        <v>-0.79639293708665504</v>
      </c>
      <c r="K24" s="49">
        <v>-0.60253688639971292</v>
      </c>
      <c r="M24" s="44">
        <v>44834</v>
      </c>
      <c r="N24" s="46">
        <f>AVERAGE(B20:B23)</f>
        <v>1259</v>
      </c>
      <c r="O24" s="46">
        <f>AVERAGE(N24:N25)</f>
        <v>1264.25</v>
      </c>
      <c r="P24" s="48">
        <f>B24-O24</f>
        <v>90.75</v>
      </c>
      <c r="Q24" s="46">
        <f>B24-$T$3</f>
        <v>1339.6607142857142</v>
      </c>
      <c r="V24">
        <f t="shared" si="0"/>
        <v>513.53039791122706</v>
      </c>
      <c r="W24">
        <f t="shared" si="1"/>
        <v>1315.082443551898</v>
      </c>
    </row>
    <row r="25" spans="1:23" x14ac:dyDescent="0.35">
      <c r="A25" s="46">
        <v>24</v>
      </c>
      <c r="B25" s="46">
        <v>1302</v>
      </c>
      <c r="C25" s="51">
        <v>7</v>
      </c>
      <c r="D25" s="51">
        <v>-3.8</v>
      </c>
      <c r="E25" s="49">
        <v>28.470626631853786</v>
      </c>
      <c r="F25" s="49">
        <v>69.264360313315933</v>
      </c>
      <c r="G25" s="49">
        <v>46.657832898172323</v>
      </c>
      <c r="H25" s="46">
        <v>0</v>
      </c>
      <c r="I25" s="50">
        <v>-0.75025682363107482</v>
      </c>
      <c r="J25" s="50">
        <v>-0.9035702577018464</v>
      </c>
      <c r="K25" s="49">
        <v>-0.82691354066646061</v>
      </c>
      <c r="M25" s="44">
        <v>44926</v>
      </c>
      <c r="N25" s="46">
        <f>AVERAGE(B21:B24)</f>
        <v>1269.5</v>
      </c>
      <c r="O25" s="46">
        <f>AVERAGE(N25:N26)</f>
        <v>1294.75</v>
      </c>
      <c r="P25" s="47">
        <f>B25-O25</f>
        <v>7.25</v>
      </c>
      <c r="Q25" s="46">
        <f>B25-$U$3</f>
        <v>1396.6785714285713</v>
      </c>
      <c r="V25">
        <f t="shared" si="0"/>
        <v>566.57304281984329</v>
      </c>
      <c r="W25">
        <f t="shared" si="1"/>
        <v>1336.2892727908309</v>
      </c>
    </row>
    <row r="26" spans="1:23" x14ac:dyDescent="0.35">
      <c r="A26" s="46">
        <v>25</v>
      </c>
      <c r="B26" s="46">
        <v>679</v>
      </c>
      <c r="C26" s="51">
        <v>7.2</v>
      </c>
      <c r="D26" s="51">
        <v>-4.5</v>
      </c>
      <c r="E26" s="49">
        <v>17.90655487804878</v>
      </c>
      <c r="F26" s="49">
        <v>147.13391768292684</v>
      </c>
      <c r="G26" s="49">
        <v>32.759679878048786</v>
      </c>
      <c r="H26" s="46">
        <v>1</v>
      </c>
      <c r="I26" s="50">
        <v>-1.6351807443102102</v>
      </c>
      <c r="J26" s="50">
        <v>-1.6878491665121893</v>
      </c>
      <c r="K26" s="49">
        <v>-1.6615149554111999</v>
      </c>
      <c r="M26" s="44">
        <v>45016</v>
      </c>
      <c r="N26" s="46">
        <f>AVERAGE(B22:B25)</f>
        <v>1320</v>
      </c>
      <c r="O26" s="46">
        <f>AVERAGE(N26:N27)</f>
        <v>1244.75</v>
      </c>
      <c r="P26" s="53">
        <f>B26-O26</f>
        <v>-565.75</v>
      </c>
      <c r="Q26" s="46">
        <f>B26-$R$3</f>
        <v>626.10714285714289</v>
      </c>
      <c r="V26">
        <f t="shared" si="0"/>
        <v>-118.79878536585363</v>
      </c>
      <c r="W26">
        <f t="shared" si="1"/>
        <v>741.21945108764112</v>
      </c>
    </row>
    <row r="27" spans="1:23" x14ac:dyDescent="0.35">
      <c r="A27" s="46">
        <v>26</v>
      </c>
      <c r="B27" s="46">
        <v>707</v>
      </c>
      <c r="C27" s="51">
        <v>6.8</v>
      </c>
      <c r="D27" s="51">
        <v>-5.0999999999999996</v>
      </c>
      <c r="E27" s="49">
        <v>22.470960365853657</v>
      </c>
      <c r="F27" s="49">
        <v>145.92652439024391</v>
      </c>
      <c r="G27" s="49">
        <v>34.110594512195121</v>
      </c>
      <c r="H27" s="46">
        <v>1</v>
      </c>
      <c r="I27" s="50">
        <v>-1.2528327544470388</v>
      </c>
      <c r="J27" s="50">
        <v>-1.6116164574874621</v>
      </c>
      <c r="K27" s="49">
        <v>-1.4322246059672503</v>
      </c>
      <c r="M27" s="44">
        <v>45107</v>
      </c>
      <c r="N27" s="46">
        <f>AVERAGE(B23:B26)</f>
        <v>1169.5</v>
      </c>
      <c r="O27" s="46">
        <f>AVERAGE(N27:N28)</f>
        <v>1090.125</v>
      </c>
      <c r="P27" s="52">
        <f>B27-O27</f>
        <v>-383.125</v>
      </c>
      <c r="Q27" s="46">
        <f>B27-$S$3</f>
        <v>671.98214285714289</v>
      </c>
      <c r="V27">
        <f t="shared" si="0"/>
        <v>-110.91857957317075</v>
      </c>
      <c r="W27">
        <f t="shared" si="1"/>
        <v>745.06106555425583</v>
      </c>
    </row>
    <row r="28" spans="1:23" x14ac:dyDescent="0.35">
      <c r="A28" s="46">
        <v>27</v>
      </c>
      <c r="B28" s="46">
        <v>684</v>
      </c>
      <c r="C28" s="51">
        <v>6.5</v>
      </c>
      <c r="D28" s="51">
        <v>-5.8</v>
      </c>
      <c r="E28" s="49">
        <v>21.583536585365856</v>
      </c>
      <c r="F28" s="49">
        <v>135.34024390243903</v>
      </c>
      <c r="G28" s="49">
        <v>33.000914634146348</v>
      </c>
      <c r="H28" s="46">
        <v>1</v>
      </c>
      <c r="I28" s="50">
        <v>-1.327169861334855</v>
      </c>
      <c r="J28" s="50">
        <v>-1.6742361827577736</v>
      </c>
      <c r="K28" s="49">
        <v>-1.5007030220463142</v>
      </c>
      <c r="M28" s="44">
        <v>45199</v>
      </c>
      <c r="N28" s="46">
        <f>AVERAGE(B24:B27)</f>
        <v>1010.75</v>
      </c>
      <c r="O28" s="46">
        <f>AVERAGE(N28:N29)</f>
        <v>926.875</v>
      </c>
      <c r="P28" s="48">
        <f>B28-O28</f>
        <v>-242.875</v>
      </c>
      <c r="Q28" s="46">
        <f>B28-$T$3</f>
        <v>668.66071428571433</v>
      </c>
      <c r="V28">
        <f t="shared" si="0"/>
        <v>-120.47866585365853</v>
      </c>
      <c r="W28">
        <f t="shared" si="1"/>
        <v>739.95814009841536</v>
      </c>
    </row>
    <row r="29" spans="1:23" x14ac:dyDescent="0.35">
      <c r="A29" s="46">
        <v>28</v>
      </c>
      <c r="B29" s="46">
        <v>666</v>
      </c>
      <c r="C29" s="51">
        <v>6.9</v>
      </c>
      <c r="D29" s="51">
        <v>-6</v>
      </c>
      <c r="E29" s="49">
        <v>16.650000000000002</v>
      </c>
      <c r="F29" s="49">
        <v>35.127439024390249</v>
      </c>
      <c r="G29" s="49">
        <v>32.132469512195122</v>
      </c>
      <c r="H29" s="46">
        <v>1</v>
      </c>
      <c r="I29" s="50">
        <v>-1.7404389719278812</v>
      </c>
      <c r="J29" s="50">
        <v>-1.7232429242736702</v>
      </c>
      <c r="K29" s="49">
        <v>-1.7318409481007757</v>
      </c>
      <c r="M29" s="44">
        <v>45291</v>
      </c>
      <c r="N29" s="46">
        <f>AVERAGE(B25:B28)</f>
        <v>843</v>
      </c>
      <c r="O29" s="46">
        <f>AVERAGE(N29:N30)</f>
        <v>763.5</v>
      </c>
      <c r="P29" s="47">
        <f>B29-O29</f>
        <v>-97.5</v>
      </c>
      <c r="Q29" s="46">
        <f>B29-$U$3</f>
        <v>760.67857142857144</v>
      </c>
      <c r="V29">
        <f t="shared" si="0"/>
        <v>-81.797737804878011</v>
      </c>
      <c r="W29">
        <f t="shared" si="1"/>
        <v>751.72707534974427</v>
      </c>
    </row>
    <row r="30" spans="1:23" x14ac:dyDescent="0.35">
      <c r="A30" s="46">
        <v>29</v>
      </c>
      <c r="B30" s="46">
        <v>1372</v>
      </c>
      <c r="C30" s="51">
        <v>4.2</v>
      </c>
      <c r="D30" s="51">
        <v>-3.2</v>
      </c>
      <c r="E30" s="49">
        <v>49.175764705882358</v>
      </c>
      <c r="F30" s="49">
        <v>620.87082352941172</v>
      </c>
      <c r="G30" s="49">
        <v>84.107529411764716</v>
      </c>
      <c r="H30" s="46">
        <v>0</v>
      </c>
      <c r="I30" s="50">
        <v>0.98415698855008071</v>
      </c>
      <c r="J30" s="50">
        <v>1.2097326448084091</v>
      </c>
      <c r="K30" s="49">
        <v>1.0969448166792448</v>
      </c>
      <c r="M30" s="44">
        <v>45382</v>
      </c>
      <c r="N30" s="46">
        <f>AVERAGE(B26:B29)</f>
        <v>684</v>
      </c>
      <c r="O30" s="46">
        <f>AVERAGE(N30:N31)</f>
        <v>770.625</v>
      </c>
      <c r="P30" s="53">
        <f>B30-O30</f>
        <v>601.375</v>
      </c>
      <c r="Q30" s="46">
        <f>B30-$R$3</f>
        <v>1319.1071428571429</v>
      </c>
      <c r="V30">
        <f t="shared" si="0"/>
        <v>543.78679388235298</v>
      </c>
      <c r="W30">
        <f t="shared" si="1"/>
        <v>1289.1332439871339</v>
      </c>
    </row>
    <row r="31" spans="1:23" x14ac:dyDescent="0.35">
      <c r="A31" s="46">
        <v>30</v>
      </c>
      <c r="B31" s="46">
        <v>1392</v>
      </c>
      <c r="C31" s="51">
        <v>3.9</v>
      </c>
      <c r="D31" s="51">
        <v>-2.8</v>
      </c>
      <c r="E31" s="49">
        <v>73.641333333333336</v>
      </c>
      <c r="F31" s="49">
        <v>585.7536470588235</v>
      </c>
      <c r="G31" s="49">
        <v>82.206823529411764</v>
      </c>
      <c r="H31" s="46">
        <v>0</v>
      </c>
      <c r="I31" s="50">
        <v>3.0335719694404117</v>
      </c>
      <c r="J31" s="50">
        <v>1.1024749729995889</v>
      </c>
      <c r="K31" s="49">
        <v>2.0680234712200001</v>
      </c>
      <c r="M31" s="44">
        <v>45473</v>
      </c>
      <c r="N31" s="46">
        <f>AVERAGE(B27:B30)</f>
        <v>857.25</v>
      </c>
      <c r="O31" s="46">
        <f>AVERAGE(N31:N32)</f>
        <v>942.875</v>
      </c>
      <c r="P31" s="52">
        <f>B31-O31</f>
        <v>449.125</v>
      </c>
      <c r="Q31" s="46">
        <f>B31-$S$3</f>
        <v>1356.9821428571429</v>
      </c>
      <c r="V31">
        <f t="shared" si="0"/>
        <v>571.19078015686273</v>
      </c>
      <c r="W31">
        <f t="shared" si="1"/>
        <v>1328.771085231419</v>
      </c>
    </row>
    <row r="32" spans="1:23" x14ac:dyDescent="0.35">
      <c r="A32" s="46">
        <v>31</v>
      </c>
      <c r="B32" s="46">
        <v>1370</v>
      </c>
      <c r="C32" s="51">
        <v>3.8</v>
      </c>
      <c r="D32" s="51">
        <v>-2.5</v>
      </c>
      <c r="E32" s="49">
        <v>36.677647058823524</v>
      </c>
      <c r="F32" s="49">
        <v>606.31999999999994</v>
      </c>
      <c r="G32" s="49">
        <v>82.256470588235288</v>
      </c>
      <c r="H32" s="46">
        <v>0</v>
      </c>
      <c r="I32" s="50">
        <v>-6.2776762667654473E-2</v>
      </c>
      <c r="J32" s="50">
        <v>1.1052765784404974</v>
      </c>
      <c r="K32" s="49">
        <v>0.52124990788642145</v>
      </c>
      <c r="M32" s="44">
        <v>45565</v>
      </c>
      <c r="N32" s="46">
        <f>AVERAGE(B28:B31)</f>
        <v>1028.5</v>
      </c>
      <c r="O32" s="46">
        <f>AVERAGE(N32:N33)</f>
        <v>1114.25</v>
      </c>
      <c r="P32" s="48">
        <f>B32-O32</f>
        <v>255.75</v>
      </c>
      <c r="Q32" s="46">
        <f>B32-$T$3</f>
        <v>1354.6607142857142</v>
      </c>
      <c r="V32">
        <f t="shared" si="0"/>
        <v>500.83276588235287</v>
      </c>
      <c r="W32">
        <f t="shared" si="1"/>
        <v>1263.1355788624348</v>
      </c>
    </row>
    <row r="33" spans="1:23" x14ac:dyDescent="0.35">
      <c r="A33" s="46">
        <v>32</v>
      </c>
      <c r="B33" s="46">
        <v>1274</v>
      </c>
      <c r="C33" s="51">
        <v>3.8</v>
      </c>
      <c r="D33" s="51">
        <v>-5.6</v>
      </c>
      <c r="E33" s="49">
        <v>48.404235294117647</v>
      </c>
      <c r="F33" s="49">
        <v>536.81552941176471</v>
      </c>
      <c r="G33" s="49">
        <v>95.476235294117657</v>
      </c>
      <c r="H33" s="46">
        <v>0</v>
      </c>
      <c r="I33" s="50">
        <v>0.91952804169233326</v>
      </c>
      <c r="J33" s="50">
        <v>1.8512737352747044</v>
      </c>
      <c r="K33" s="49">
        <v>1.3854008884835189</v>
      </c>
      <c r="M33" s="44">
        <v>45657</v>
      </c>
      <c r="N33" s="46">
        <f>AVERAGE(B29:B32)</f>
        <v>1200</v>
      </c>
      <c r="O33" s="46">
        <f>AVERAGE(N33:N34)</f>
        <v>1276</v>
      </c>
      <c r="P33" s="47">
        <f>B33-O33</f>
        <v>-2</v>
      </c>
      <c r="Q33" s="46">
        <f>B33-$U$3</f>
        <v>1368.6785714285713</v>
      </c>
      <c r="V33">
        <f t="shared" si="0"/>
        <v>652.52241364705878</v>
      </c>
      <c r="W33">
        <f t="shared" si="1"/>
        <v>1308.2156895568025</v>
      </c>
    </row>
    <row r="34" spans="1:23" x14ac:dyDescent="0.35">
      <c r="A34" s="46">
        <v>33</v>
      </c>
      <c r="B34" s="45"/>
      <c r="C34" s="51">
        <v>3.9</v>
      </c>
      <c r="D34" s="51">
        <v>-5.6</v>
      </c>
      <c r="E34" s="49">
        <v>49</v>
      </c>
      <c r="F34" s="49">
        <v>520</v>
      </c>
      <c r="G34" s="49">
        <v>95.476235294117657</v>
      </c>
      <c r="H34" s="46">
        <v>0</v>
      </c>
      <c r="I34" s="45"/>
      <c r="J34" s="45"/>
      <c r="K34" s="45"/>
      <c r="N34" s="46">
        <f>AVERAGE(B30:B33)</f>
        <v>1352</v>
      </c>
      <c r="O34" s="46">
        <f>AVERAGE(N34:N35)</f>
        <v>1348.6666666666665</v>
      </c>
      <c r="P34" s="48"/>
      <c r="Q34" s="46">
        <f>O34</f>
        <v>1348.6666666666665</v>
      </c>
      <c r="R34" s="46"/>
      <c r="V34">
        <f t="shared" si="0"/>
        <v>663.01005294117647</v>
      </c>
      <c r="W34">
        <f t="shared" si="1"/>
        <v>1257.4577000000002</v>
      </c>
    </row>
    <row r="35" spans="1:23" x14ac:dyDescent="0.35">
      <c r="A35" s="46">
        <v>34</v>
      </c>
      <c r="B35" s="45"/>
      <c r="C35" s="51">
        <v>3.8</v>
      </c>
      <c r="D35" s="51">
        <v>-5.2</v>
      </c>
      <c r="E35" s="49">
        <v>51</v>
      </c>
      <c r="F35" s="49">
        <v>550</v>
      </c>
      <c r="G35" s="49">
        <v>99</v>
      </c>
      <c r="H35" s="46">
        <v>0</v>
      </c>
      <c r="I35" s="45"/>
      <c r="J35" s="45"/>
      <c r="K35" s="45"/>
      <c r="N35" s="46">
        <f>AVERAGE(B31:B34)</f>
        <v>1345.3333333333333</v>
      </c>
      <c r="O35" s="46">
        <f>AVERAGE(N35:N36)</f>
        <v>1333.6666666666665</v>
      </c>
      <c r="P35" s="47"/>
      <c r="Q35" s="46">
        <f t="shared" ref="Q35:Q37" si="2">O35</f>
        <v>1333.6666666666665</v>
      </c>
      <c r="V35">
        <f t="shared" si="0"/>
        <v>672.27179999999998</v>
      </c>
      <c r="W35">
        <f t="shared" si="1"/>
        <v>1251.4433999999999</v>
      </c>
    </row>
    <row r="36" spans="1:23" x14ac:dyDescent="0.35">
      <c r="A36" s="46">
        <v>35</v>
      </c>
      <c r="B36" s="45"/>
      <c r="C36" s="51">
        <v>3.7</v>
      </c>
      <c r="D36" s="51">
        <v>-5.0999999999999996</v>
      </c>
      <c r="E36" s="49">
        <v>50</v>
      </c>
      <c r="F36" s="49">
        <v>590</v>
      </c>
      <c r="G36" s="49">
        <v>99</v>
      </c>
      <c r="H36" s="46">
        <v>0</v>
      </c>
      <c r="I36" s="45"/>
      <c r="J36" s="45"/>
      <c r="K36" s="45"/>
      <c r="N36" s="46">
        <f>AVERAGE(B32:B35)</f>
        <v>1322</v>
      </c>
      <c r="O36" s="46">
        <f>AVERAGE(N36:N37)</f>
        <v>1298</v>
      </c>
      <c r="P36" s="48"/>
      <c r="Q36" s="46">
        <f t="shared" si="2"/>
        <v>1298</v>
      </c>
      <c r="V36">
        <f t="shared" si="0"/>
        <v>651.62300000000005</v>
      </c>
      <c r="W36">
        <f t="shared" si="1"/>
        <v>1243.9134000000001</v>
      </c>
    </row>
    <row r="37" spans="1:23" x14ac:dyDescent="0.35">
      <c r="A37" s="46">
        <v>36</v>
      </c>
      <c r="B37" s="45"/>
      <c r="C37" s="51">
        <v>3.8</v>
      </c>
      <c r="D37" s="51">
        <v>-5</v>
      </c>
      <c r="E37" s="49">
        <v>49</v>
      </c>
      <c r="F37" s="49">
        <v>600</v>
      </c>
      <c r="G37" s="49">
        <v>99</v>
      </c>
      <c r="H37" s="46">
        <v>0</v>
      </c>
      <c r="I37" s="45"/>
      <c r="J37" s="45"/>
      <c r="K37" s="45"/>
      <c r="N37" s="46">
        <f>AVERAGE(B33:B36)</f>
        <v>1274</v>
      </c>
      <c r="O37" s="46">
        <f>AVERAGE(N37:N38)</f>
        <v>1274</v>
      </c>
      <c r="P37" s="47"/>
      <c r="Q37" s="46">
        <f t="shared" si="2"/>
        <v>1274</v>
      </c>
      <c r="V37">
        <f t="shared" si="0"/>
        <v>648.69159999999999</v>
      </c>
      <c r="W37">
        <f t="shared" si="1"/>
        <v>1243.7271999999998</v>
      </c>
    </row>
    <row r="38" spans="1:23" x14ac:dyDescent="0.35">
      <c r="A38" s="46">
        <v>37</v>
      </c>
      <c r="B38" s="45"/>
      <c r="C38" s="45"/>
      <c r="D38" s="51"/>
      <c r="E38" s="45"/>
      <c r="F38" s="45"/>
      <c r="G38" s="45"/>
      <c r="H38" s="45"/>
      <c r="I38" s="45"/>
      <c r="J38" s="45"/>
      <c r="K38" s="45"/>
      <c r="N38" s="46"/>
      <c r="O38" s="46"/>
    </row>
    <row r="39" spans="1:23" x14ac:dyDescent="0.35">
      <c r="A39" s="46">
        <v>38</v>
      </c>
      <c r="B39" s="45"/>
      <c r="C39" s="45"/>
      <c r="D39" s="51"/>
      <c r="E39" s="45"/>
      <c r="F39" s="45"/>
      <c r="G39" s="45"/>
      <c r="H39" s="45"/>
      <c r="I39" s="45"/>
      <c r="J39" s="45"/>
      <c r="K39" s="45"/>
      <c r="O39" s="46"/>
    </row>
    <row r="40" spans="1:23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spans="1:23" x14ac:dyDescent="0.3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spans="1:23" x14ac:dyDescent="0.3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spans="1:23" x14ac:dyDescent="0.3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23" x14ac:dyDescent="0.3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</row>
    <row r="45" spans="1:23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spans="1:23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</row>
    <row r="47" spans="1:23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spans="1:23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spans="1:11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spans="1:11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spans="1:11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spans="1:11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spans="1:11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</row>
    <row r="54" spans="1:11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spans="1:11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6ED4-8200-4C83-BD60-37F2D6FBF09A}">
  <dimension ref="A1:E49"/>
  <sheetViews>
    <sheetView topLeftCell="A5" workbookViewId="0">
      <selection activeCell="C15" sqref="C15"/>
    </sheetView>
  </sheetViews>
  <sheetFormatPr defaultRowHeight="14.5" x14ac:dyDescent="0.35"/>
  <cols>
    <col min="1" max="1" width="11.90625" bestFit="1" customWidth="1"/>
    <col min="2" max="2" width="12.26953125" customWidth="1"/>
    <col min="3" max="3" width="20.6328125" customWidth="1"/>
    <col min="4" max="4" width="34.36328125" customWidth="1"/>
    <col min="5" max="5" width="34.453125" customWidth="1"/>
  </cols>
  <sheetData>
    <row r="1" spans="1:5" x14ac:dyDescent="0.35">
      <c r="A1" t="s">
        <v>95</v>
      </c>
      <c r="B1" t="s">
        <v>144</v>
      </c>
      <c r="C1" t="s">
        <v>164</v>
      </c>
      <c r="D1" t="s">
        <v>163</v>
      </c>
      <c r="E1" t="s">
        <v>162</v>
      </c>
    </row>
    <row r="2" spans="1:5" x14ac:dyDescent="0.35">
      <c r="A2" s="44">
        <v>42825</v>
      </c>
      <c r="B2" s="46">
        <v>1298</v>
      </c>
    </row>
    <row r="3" spans="1:5" x14ac:dyDescent="0.35">
      <c r="A3" s="44">
        <v>42916</v>
      </c>
      <c r="B3" s="46">
        <v>1305</v>
      </c>
    </row>
    <row r="4" spans="1:5" x14ac:dyDescent="0.35">
      <c r="A4" s="44">
        <v>43008</v>
      </c>
      <c r="B4" s="46">
        <v>1355</v>
      </c>
    </row>
    <row r="5" spans="1:5" x14ac:dyDescent="0.35">
      <c r="A5" s="44">
        <v>43100</v>
      </c>
      <c r="B5" s="46">
        <v>1264</v>
      </c>
    </row>
    <row r="6" spans="1:5" x14ac:dyDescent="0.35">
      <c r="A6" s="44">
        <v>43190</v>
      </c>
      <c r="B6" s="46">
        <v>1351</v>
      </c>
    </row>
    <row r="7" spans="1:5" x14ac:dyDescent="0.35">
      <c r="A7" s="44">
        <v>43281</v>
      </c>
      <c r="B7" s="46">
        <v>1304</v>
      </c>
    </row>
    <row r="8" spans="1:5" x14ac:dyDescent="0.35">
      <c r="A8" s="44">
        <v>43373</v>
      </c>
      <c r="B8" s="46">
        <v>1330</v>
      </c>
    </row>
    <row r="9" spans="1:5" x14ac:dyDescent="0.35">
      <c r="A9" s="44">
        <v>43465</v>
      </c>
      <c r="B9" s="46">
        <v>1218</v>
      </c>
    </row>
    <row r="10" spans="1:5" x14ac:dyDescent="0.35">
      <c r="A10" s="44">
        <v>43555</v>
      </c>
      <c r="B10" s="46">
        <v>1275</v>
      </c>
    </row>
    <row r="11" spans="1:5" x14ac:dyDescent="0.35">
      <c r="A11" s="44">
        <v>43646</v>
      </c>
      <c r="B11" s="46">
        <v>1256</v>
      </c>
    </row>
    <row r="12" spans="1:5" x14ac:dyDescent="0.35">
      <c r="A12" s="44">
        <v>43738</v>
      </c>
      <c r="B12" s="46">
        <v>1280</v>
      </c>
    </row>
    <row r="13" spans="1:5" x14ac:dyDescent="0.35">
      <c r="A13" s="44">
        <v>43830</v>
      </c>
      <c r="B13" s="46">
        <v>1218</v>
      </c>
    </row>
    <row r="14" spans="1:5" x14ac:dyDescent="0.35">
      <c r="A14" s="44">
        <v>43921</v>
      </c>
      <c r="B14" s="46">
        <v>1554</v>
      </c>
    </row>
    <row r="15" spans="1:5" x14ac:dyDescent="0.35">
      <c r="A15" s="44">
        <v>44012</v>
      </c>
      <c r="B15" s="46">
        <v>1444</v>
      </c>
    </row>
    <row r="16" spans="1:5" x14ac:dyDescent="0.35">
      <c r="A16" s="44">
        <v>44104</v>
      </c>
      <c r="B16" s="46">
        <v>1324</v>
      </c>
    </row>
    <row r="17" spans="1:2" x14ac:dyDescent="0.35">
      <c r="A17" s="44">
        <v>44196</v>
      </c>
      <c r="B17" s="46">
        <v>1111</v>
      </c>
    </row>
    <row r="18" spans="1:2" x14ac:dyDescent="0.35">
      <c r="A18" s="44">
        <v>44286</v>
      </c>
      <c r="B18" s="46">
        <v>1374</v>
      </c>
    </row>
    <row r="19" spans="1:2" x14ac:dyDescent="0.35">
      <c r="A19" s="44">
        <v>44377</v>
      </c>
      <c r="B19" s="46">
        <v>1336</v>
      </c>
    </row>
    <row r="20" spans="1:2" x14ac:dyDescent="0.35">
      <c r="A20" s="44">
        <v>44469</v>
      </c>
      <c r="B20" s="46">
        <v>1313</v>
      </c>
    </row>
    <row r="21" spans="1:2" x14ac:dyDescent="0.35">
      <c r="A21" s="44">
        <v>44561</v>
      </c>
      <c r="B21" s="46">
        <v>1100</v>
      </c>
    </row>
    <row r="22" spans="1:2" x14ac:dyDescent="0.35">
      <c r="A22" s="44">
        <v>44651</v>
      </c>
      <c r="B22" s="46">
        <v>1281</v>
      </c>
    </row>
    <row r="23" spans="1:2" x14ac:dyDescent="0.35">
      <c r="A23" s="44">
        <v>44742</v>
      </c>
      <c r="B23" s="46">
        <v>1342</v>
      </c>
    </row>
    <row r="24" spans="1:2" x14ac:dyDescent="0.35">
      <c r="A24" s="44">
        <v>44834</v>
      </c>
      <c r="B24" s="46">
        <v>1355</v>
      </c>
    </row>
    <row r="25" spans="1:2" x14ac:dyDescent="0.35">
      <c r="A25" s="44">
        <v>44926</v>
      </c>
      <c r="B25" s="46">
        <v>1302</v>
      </c>
    </row>
    <row r="26" spans="1:2" x14ac:dyDescent="0.35">
      <c r="A26" s="44">
        <v>45016</v>
      </c>
      <c r="B26" s="46">
        <v>679</v>
      </c>
    </row>
    <row r="27" spans="1:2" x14ac:dyDescent="0.35">
      <c r="A27" s="44">
        <v>45107</v>
      </c>
      <c r="B27" s="46">
        <v>707</v>
      </c>
    </row>
    <row r="28" spans="1:2" x14ac:dyDescent="0.35">
      <c r="A28" s="44">
        <v>45199</v>
      </c>
      <c r="B28" s="46">
        <v>684</v>
      </c>
    </row>
    <row r="29" spans="1:2" x14ac:dyDescent="0.35">
      <c r="A29" s="44">
        <v>45291</v>
      </c>
      <c r="B29" s="46">
        <v>666</v>
      </c>
    </row>
    <row r="30" spans="1:2" x14ac:dyDescent="0.35">
      <c r="A30" s="44">
        <v>45382</v>
      </c>
      <c r="B30" s="46">
        <v>1372</v>
      </c>
    </row>
    <row r="31" spans="1:2" x14ac:dyDescent="0.35">
      <c r="A31" s="44">
        <v>45473</v>
      </c>
      <c r="B31" s="46">
        <v>1392</v>
      </c>
    </row>
    <row r="32" spans="1:2" x14ac:dyDescent="0.35">
      <c r="A32" s="44">
        <v>45565</v>
      </c>
      <c r="B32" s="46">
        <v>1370</v>
      </c>
    </row>
    <row r="33" spans="1:5" x14ac:dyDescent="0.35">
      <c r="A33" s="44">
        <v>45657</v>
      </c>
      <c r="B33" s="46">
        <v>1274</v>
      </c>
      <c r="C33" s="46">
        <v>1274</v>
      </c>
      <c r="D33" s="46">
        <v>1274</v>
      </c>
      <c r="E33" s="46">
        <v>1274</v>
      </c>
    </row>
    <row r="34" spans="1:5" x14ac:dyDescent="0.35">
      <c r="A34" s="44">
        <v>45747</v>
      </c>
      <c r="C34" s="46">
        <f>_xlfn.FORECAST.ETS(A34,$B$2:$B$33,$A$2:$A$33,1,1)</f>
        <v>1433.2840811969975</v>
      </c>
      <c r="D34" s="46">
        <f>C34-_xlfn.FORECAST.ETS.CONFINT(A34,$B$2:$B$33,$A$2:$A$33,0.95,1,1)</f>
        <v>1071.8527873168116</v>
      </c>
      <c r="E34" s="46">
        <f>C34+_xlfn.FORECAST.ETS.CONFINT(A34,$B$2:$B$33,$A$2:$A$33,0.95,1,1)</f>
        <v>1794.7153750771834</v>
      </c>
    </row>
    <row r="35" spans="1:5" x14ac:dyDescent="0.35">
      <c r="A35" s="44">
        <v>45839</v>
      </c>
      <c r="C35" s="46">
        <f>_xlfn.FORECAST.ETS(A35,$B$2:$B$33,$A$2:$A$33,1,1)</f>
        <v>1398.4894216205273</v>
      </c>
      <c r="D35" s="46">
        <f>C35-_xlfn.FORECAST.ETS.CONFINT(A35,$B$2:$B$33,$A$2:$A$33,0.95,1,1)</f>
        <v>887.60389054336042</v>
      </c>
      <c r="E35" s="46">
        <f>C35+_xlfn.FORECAST.ETS.CONFINT(A35,$B$2:$B$33,$A$2:$A$33,0.95,1,1)</f>
        <v>1909.3749526976942</v>
      </c>
    </row>
    <row r="36" spans="1:5" x14ac:dyDescent="0.35">
      <c r="A36" s="44">
        <v>45931</v>
      </c>
      <c r="C36" s="46">
        <f>_xlfn.FORECAST.ETS(A36,$B$2:$B$33,$A$2:$A$33,1,1)</f>
        <v>1388.9855023174375</v>
      </c>
      <c r="D36" s="46">
        <f>C36-_xlfn.FORECAST.ETS.CONFINT(A36,$B$2:$B$33,$A$2:$A$33,0.95,1,1)</f>
        <v>763.17674074573813</v>
      </c>
      <c r="E36" s="46">
        <f>C36+_xlfn.FORECAST.ETS.CONFINT(A36,$B$2:$B$33,$A$2:$A$33,0.95,1,1)</f>
        <v>2014.7942638891368</v>
      </c>
    </row>
    <row r="37" spans="1:5" x14ac:dyDescent="0.35">
      <c r="A37" s="44">
        <v>46022</v>
      </c>
      <c r="C37" s="46">
        <f>_xlfn.FORECAST.ETS(A37,$B$2:$B$33,$A$2:$A$33,1,1)</f>
        <v>1245.043122069796</v>
      </c>
      <c r="D37" s="46">
        <f>C37-_xlfn.FORECAST.ETS.CONFINT(A37,$B$2:$B$33,$A$2:$A$33,0.95,1,1)</f>
        <v>522.18035359380008</v>
      </c>
      <c r="E37" s="46">
        <f>C37+_xlfn.FORECAST.ETS.CONFINT(A37,$B$2:$B$33,$A$2:$A$33,0.95,1,1)</f>
        <v>1967.9058905457919</v>
      </c>
    </row>
    <row r="38" spans="1:5" x14ac:dyDescent="0.35">
      <c r="A38" s="44">
        <v>46112</v>
      </c>
      <c r="C38" s="46">
        <f>_xlfn.FORECAST.ETS(A38,$B$2:$B$33,$A$2:$A$33,1,1)</f>
        <v>1465.2948817756835</v>
      </c>
      <c r="D38" s="46">
        <f>C38-_xlfn.FORECAST.ETS.CONFINT(A38,$B$2:$B$33,$A$2:$A$33,0.95,1,1)</f>
        <v>656.78624539893383</v>
      </c>
      <c r="E38" s="46">
        <f>C38+_xlfn.FORECAST.ETS.CONFINT(A38,$B$2:$B$33,$A$2:$A$33,0.95,1,1)</f>
        <v>2273.8035181524333</v>
      </c>
    </row>
    <row r="39" spans="1:5" x14ac:dyDescent="0.35">
      <c r="A39" s="44">
        <v>46204</v>
      </c>
      <c r="C39" s="46">
        <f>_xlfn.FORECAST.ETS(A39,$B$2:$B$33,$A$2:$A$33,1,1)</f>
        <v>1394.998177630679</v>
      </c>
      <c r="D39" s="46">
        <f>C39-_xlfn.FORECAST.ETS.CONFINT(A39,$B$2:$B$33,$A$2:$A$33,0.95,1,1)</f>
        <v>508.9373634276734</v>
      </c>
      <c r="E39" s="46">
        <f>C39+_xlfn.FORECAST.ETS.CONFINT(A39,$B$2:$B$33,$A$2:$A$33,0.95,1,1)</f>
        <v>2281.0589918336846</v>
      </c>
    </row>
    <row r="40" spans="1:5" x14ac:dyDescent="0.35">
      <c r="A40" s="44">
        <v>46296</v>
      </c>
      <c r="C40" s="46">
        <f>_xlfn.FORECAST.ETS(A40,$B$2:$B$33,$A$2:$A$33,1,1)</f>
        <v>1360.0361385723145</v>
      </c>
      <c r="D40" s="46">
        <f>C40-_xlfn.FORECAST.ETS.CONFINT(A40,$B$2:$B$33,$A$2:$A$33,0.95,1,1)</f>
        <v>402.54801988631789</v>
      </c>
      <c r="E40" s="46">
        <f>C40+_xlfn.FORECAST.ETS.CONFINT(A40,$B$2:$B$33,$A$2:$A$33,0.95,1,1)</f>
        <v>2317.5242572583111</v>
      </c>
    </row>
    <row r="41" spans="1:5" x14ac:dyDescent="0.35">
      <c r="A41" s="44">
        <v>46387</v>
      </c>
      <c r="C41" s="46">
        <f>_xlfn.FORECAST.ETS(A41,$B$2:$B$33,$A$2:$A$33,1,1)</f>
        <v>1212.2787756598241</v>
      </c>
      <c r="D41" s="46">
        <f>C41-_xlfn.FORECAST.ETS.CONFINT(A41,$B$2:$B$33,$A$2:$A$33,0.95,1,1)</f>
        <v>188.20569758520833</v>
      </c>
      <c r="E41" s="46">
        <f>C41+_xlfn.FORECAST.ETS.CONFINT(A41,$B$2:$B$33,$A$2:$A$33,0.95,1,1)</f>
        <v>2236.3518537344398</v>
      </c>
    </row>
    <row r="42" spans="1:5" x14ac:dyDescent="0.35">
      <c r="A42" s="44">
        <v>46477</v>
      </c>
      <c r="C42" s="46">
        <f>_xlfn.FORECAST.ETS(A42,$B$2:$B$33,$A$2:$A$33,1,1)</f>
        <v>1371.5628568568216</v>
      </c>
      <c r="D42" s="46">
        <f>C42-_xlfn.FORECAST.ETS.CONFINT(A42,$B$2:$B$33,$A$2:$A$33,0.95,1,1)</f>
        <v>284.735590658418</v>
      </c>
      <c r="E42" s="46">
        <f>C42+_xlfn.FORECAST.ETS.CONFINT(A42,$B$2:$B$33,$A$2:$A$33,0.95,1,1)</f>
        <v>2458.3901230552251</v>
      </c>
    </row>
    <row r="43" spans="1:5" x14ac:dyDescent="0.35">
      <c r="A43" s="44">
        <v>46569</v>
      </c>
      <c r="C43" s="46">
        <f>_xlfn.FORECAST.ETS(A43,$B$2:$B$33,$A$2:$A$33,1,1)</f>
        <v>1336.7681972803514</v>
      </c>
      <c r="D43" s="46">
        <f>C43-_xlfn.FORECAST.ETS.CONFINT(A43,$B$2:$B$33,$A$2:$A$33,0.95,1,1)</f>
        <v>190.61753359456293</v>
      </c>
      <c r="E43" s="46">
        <f>C43+_xlfn.FORECAST.ETS.CONFINT(A43,$B$2:$B$33,$A$2:$A$33,0.95,1,1)</f>
        <v>2482.9188609661396</v>
      </c>
    </row>
    <row r="44" spans="1:5" x14ac:dyDescent="0.35">
      <c r="A44" s="44">
        <v>46661</v>
      </c>
      <c r="C44" s="46">
        <f>_xlfn.FORECAST.ETS(A44,$B$2:$B$33,$A$2:$A$33,1,1)</f>
        <v>1327.2642779772616</v>
      </c>
      <c r="D44" s="46">
        <f>C44-_xlfn.FORECAST.ETS.CONFINT(A44,$B$2:$B$33,$A$2:$A$33,0.95,1,1)</f>
        <v>124.60372494014405</v>
      </c>
      <c r="E44" s="46">
        <f>C44+_xlfn.FORECAST.ETS.CONFINT(A44,$B$2:$B$33,$A$2:$A$33,0.95,1,1)</f>
        <v>2529.9248310143794</v>
      </c>
    </row>
    <row r="45" spans="1:5" x14ac:dyDescent="0.35">
      <c r="A45" s="44">
        <v>46752</v>
      </c>
      <c r="C45" s="46">
        <f>_xlfn.FORECAST.ETS(A45,$B$2:$B$33,$A$2:$A$33,1,1)</f>
        <v>1183.3218977296201</v>
      </c>
      <c r="D45" s="46">
        <f>C45-_xlfn.FORECAST.ETS.CONFINT(A45,$B$2:$B$33,$A$2:$A$33,0.95,1,1)</f>
        <v>-73.414730888314807</v>
      </c>
      <c r="E45" s="46">
        <f>C45+_xlfn.FORECAST.ETS.CONFINT(A45,$B$2:$B$33,$A$2:$A$33,0.95,1,1)</f>
        <v>2440.058526347555</v>
      </c>
    </row>
    <row r="46" spans="1:5" x14ac:dyDescent="0.35">
      <c r="A46" s="44">
        <v>46843</v>
      </c>
      <c r="C46" s="46">
        <f>_xlfn.FORECAST.ETS(A46,$B$2:$B$33,$A$2:$A$33,1,1)</f>
        <v>1403.5736574355076</v>
      </c>
      <c r="D46" s="46">
        <f>C46-_xlfn.FORECAST.ETS.CONFINT(A46,$B$2:$B$33,$A$2:$A$33,0.95,1,1)</f>
        <v>94.892929080491285</v>
      </c>
      <c r="E46" s="46">
        <f>C46+_xlfn.FORECAST.ETS.CONFINT(A46,$B$2:$B$33,$A$2:$A$33,0.95,1,1)</f>
        <v>2712.2543857905239</v>
      </c>
    </row>
    <row r="47" spans="1:5" x14ac:dyDescent="0.35">
      <c r="A47" s="44">
        <v>46935</v>
      </c>
      <c r="C47" s="46">
        <f>_xlfn.FORECAST.ETS(A47,$B$2:$B$33,$A$2:$A$33,1,1)</f>
        <v>1333.2769532905031</v>
      </c>
      <c r="D47" s="46">
        <f>C47-_xlfn.FORECAST.ETS.CONFINT(A47,$B$2:$B$33,$A$2:$A$33,0.95,1,1)</f>
        <v>-25.460531387914898</v>
      </c>
      <c r="E47" s="46">
        <f>C47+_xlfn.FORECAST.ETS.CONFINT(A47,$B$2:$B$33,$A$2:$A$33,0.95,1,1)</f>
        <v>2692.0144379689209</v>
      </c>
    </row>
    <row r="48" spans="1:5" x14ac:dyDescent="0.35">
      <c r="A48" s="44">
        <v>47027</v>
      </c>
      <c r="C48" s="46">
        <f>_xlfn.FORECAST.ETS(A48,$B$2:$B$33,$A$2:$A$33,1,1)</f>
        <v>1298.3149142321386</v>
      </c>
      <c r="D48" s="46">
        <f>C48-_xlfn.FORECAST.ETS.CONFINT(A48,$B$2:$B$33,$A$2:$A$33,0.95,1,1)</f>
        <v>-108.79351282044286</v>
      </c>
      <c r="E48" s="46">
        <f>C48+_xlfn.FORECAST.ETS.CONFINT(A48,$B$2:$B$33,$A$2:$A$33,0.95,1,1)</f>
        <v>2705.4233412847198</v>
      </c>
    </row>
    <row r="49" spans="1:5" x14ac:dyDescent="0.35">
      <c r="A49" s="44">
        <v>47118</v>
      </c>
      <c r="C49" s="46">
        <f>_xlfn.FORECAST.ETS(A49,$B$2:$B$33,$A$2:$A$33,1,1)</f>
        <v>1150.5575513196482</v>
      </c>
      <c r="D49" s="46">
        <f>C49-_xlfn.FORECAST.ETS.CONFINT(A49,$B$2:$B$33,$A$2:$A$33,0.95,1,1)</f>
        <v>-303.4043565959073</v>
      </c>
      <c r="E49" s="46">
        <f>C49+_xlfn.FORECAST.ETS.CONFINT(A49,$B$2:$B$33,$A$2:$A$33,0.95,1,1)</f>
        <v>2604.5194592352036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6A3C-1B4A-4252-B2EE-D556882D40B9}">
  <dimension ref="A1:B20"/>
  <sheetViews>
    <sheetView workbookViewId="0">
      <selection sqref="A1:B1048576"/>
    </sheetView>
  </sheetViews>
  <sheetFormatPr defaultRowHeight="14.5" x14ac:dyDescent="0.35"/>
  <cols>
    <col min="1" max="1" width="25.36328125" bestFit="1" customWidth="1"/>
    <col min="2" max="2" width="15.453125" bestFit="1" customWidth="1"/>
  </cols>
  <sheetData>
    <row r="1" spans="1:2" x14ac:dyDescent="0.35">
      <c r="A1" s="5" t="s">
        <v>19</v>
      </c>
      <c r="B1" s="5" t="s">
        <v>20</v>
      </c>
    </row>
    <row r="2" spans="1:2" x14ac:dyDescent="0.35">
      <c r="A2" s="1" t="s">
        <v>0</v>
      </c>
      <c r="B2" s="2">
        <v>13498.9</v>
      </c>
    </row>
    <row r="3" spans="1:2" x14ac:dyDescent="0.35">
      <c r="A3" s="1" t="s">
        <v>1</v>
      </c>
      <c r="B3" s="2">
        <v>4583.1000000000004</v>
      </c>
    </row>
    <row r="4" spans="1:2" x14ac:dyDescent="0.35">
      <c r="A4" s="1" t="s">
        <v>2</v>
      </c>
      <c r="B4" s="2">
        <v>3656.9</v>
      </c>
    </row>
    <row r="5" spans="1:2" x14ac:dyDescent="0.35">
      <c r="A5" s="1" t="s">
        <v>3</v>
      </c>
      <c r="B5" s="3">
        <v>2980</v>
      </c>
    </row>
    <row r="6" spans="1:2" x14ac:dyDescent="0.35">
      <c r="A6" s="1" t="s">
        <v>4</v>
      </c>
      <c r="B6" s="2">
        <v>2598.3000000000002</v>
      </c>
    </row>
    <row r="7" spans="1:2" x14ac:dyDescent="0.35">
      <c r="A7" s="1" t="s">
        <v>5</v>
      </c>
      <c r="B7" s="2">
        <v>2389.4</v>
      </c>
    </row>
    <row r="8" spans="1:2" x14ac:dyDescent="0.35">
      <c r="A8" s="1" t="s">
        <v>6</v>
      </c>
      <c r="B8" s="2">
        <v>1844.8</v>
      </c>
    </row>
    <row r="9" spans="1:2" x14ac:dyDescent="0.35">
      <c r="A9" s="1" t="s">
        <v>7</v>
      </c>
      <c r="B9" s="2">
        <v>1754.7</v>
      </c>
    </row>
    <row r="10" spans="1:2" x14ac:dyDescent="0.35">
      <c r="A10" s="1" t="s">
        <v>8</v>
      </c>
      <c r="B10" s="2">
        <v>1647.7</v>
      </c>
    </row>
    <row r="11" spans="1:2" x14ac:dyDescent="0.35">
      <c r="A11" s="1" t="s">
        <v>9</v>
      </c>
      <c r="B11" s="2">
        <v>1285.0999999999999</v>
      </c>
    </row>
    <row r="12" spans="1:2" x14ac:dyDescent="0.35">
      <c r="A12" s="1" t="s">
        <v>10</v>
      </c>
      <c r="B12" s="2">
        <v>1115.0999999999999</v>
      </c>
    </row>
    <row r="13" spans="1:2" x14ac:dyDescent="0.35">
      <c r="A13" s="1" t="s">
        <v>11</v>
      </c>
      <c r="B13" s="3">
        <v>1014</v>
      </c>
    </row>
    <row r="14" spans="1:2" x14ac:dyDescent="0.35">
      <c r="A14" s="1" t="s">
        <v>12</v>
      </c>
      <c r="B14" s="2">
        <v>997.5</v>
      </c>
    </row>
    <row r="15" spans="1:2" x14ac:dyDescent="0.35">
      <c r="A15" s="1" t="s">
        <v>13</v>
      </c>
      <c r="B15" s="2">
        <v>971.7</v>
      </c>
    </row>
    <row r="16" spans="1:2" x14ac:dyDescent="0.35">
      <c r="A16" s="1" t="s">
        <v>14</v>
      </c>
      <c r="B16" s="2">
        <v>849.5</v>
      </c>
    </row>
    <row r="17" spans="1:2" x14ac:dyDescent="0.35">
      <c r="A17" s="1" t="s">
        <v>15</v>
      </c>
      <c r="B17" s="2">
        <v>661.9</v>
      </c>
    </row>
    <row r="18" spans="1:2" x14ac:dyDescent="0.35">
      <c r="A18" s="1" t="s">
        <v>16</v>
      </c>
      <c r="B18" s="2">
        <v>656.1</v>
      </c>
    </row>
    <row r="19" spans="1:2" x14ac:dyDescent="0.35">
      <c r="A19" s="1" t="s">
        <v>17</v>
      </c>
      <c r="B19" s="2">
        <v>502.4</v>
      </c>
    </row>
    <row r="20" spans="1:2" x14ac:dyDescent="0.35">
      <c r="A20" s="1" t="s">
        <v>18</v>
      </c>
      <c r="B20" s="3">
        <v>331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A943-6126-4B24-A033-796ED52C54AC}">
  <dimension ref="A1:B24"/>
  <sheetViews>
    <sheetView workbookViewId="0">
      <selection activeCell="A2" sqref="A2:XFD2"/>
    </sheetView>
  </sheetViews>
  <sheetFormatPr defaultRowHeight="14.5" x14ac:dyDescent="0.35"/>
  <cols>
    <col min="1" max="1" width="16.7265625" style="6" customWidth="1"/>
    <col min="2" max="2" width="37.08984375" style="6" customWidth="1"/>
  </cols>
  <sheetData>
    <row r="1" spans="1:2" x14ac:dyDescent="0.35">
      <c r="A1" s="29" t="s">
        <v>74</v>
      </c>
      <c r="B1" s="29"/>
    </row>
    <row r="2" spans="1:2" x14ac:dyDescent="0.35">
      <c r="A2" s="6" t="s">
        <v>28</v>
      </c>
      <c r="B2" s="6" t="s">
        <v>90</v>
      </c>
    </row>
    <row r="3" spans="1:2" x14ac:dyDescent="0.35">
      <c r="A3" s="8" t="s">
        <v>75</v>
      </c>
      <c r="B3" s="7">
        <v>2218</v>
      </c>
    </row>
    <row r="4" spans="1:2" x14ac:dyDescent="0.35">
      <c r="A4" s="8" t="s">
        <v>76</v>
      </c>
      <c r="B4" s="7">
        <v>2417</v>
      </c>
    </row>
    <row r="5" spans="1:2" x14ac:dyDescent="0.35">
      <c r="A5" s="8" t="s">
        <v>77</v>
      </c>
      <c r="B5" s="7">
        <v>1434</v>
      </c>
    </row>
    <row r="6" spans="1:2" x14ac:dyDescent="0.35">
      <c r="A6" s="8" t="s">
        <v>78</v>
      </c>
      <c r="B6" s="7">
        <v>1507</v>
      </c>
    </row>
    <row r="7" spans="1:2" x14ac:dyDescent="0.35">
      <c r="A7" s="8" t="s">
        <v>79</v>
      </c>
      <c r="B7" s="7">
        <v>1949</v>
      </c>
    </row>
    <row r="8" spans="1:2" x14ac:dyDescent="0.35">
      <c r="A8" s="8" t="s">
        <v>80</v>
      </c>
      <c r="B8" s="7">
        <v>3147</v>
      </c>
    </row>
    <row r="9" spans="1:2" x14ac:dyDescent="0.35">
      <c r="A9" s="8" t="s">
        <v>81</v>
      </c>
      <c r="B9" s="7">
        <v>2338</v>
      </c>
    </row>
    <row r="10" spans="1:2" x14ac:dyDescent="0.35">
      <c r="A10" s="8" t="s">
        <v>82</v>
      </c>
      <c r="B10" s="7">
        <v>2267</v>
      </c>
    </row>
    <row r="11" spans="1:2" x14ac:dyDescent="0.35">
      <c r="A11" s="8" t="s">
        <v>83</v>
      </c>
      <c r="B11" s="7">
        <v>3230</v>
      </c>
    </row>
    <row r="12" spans="1:2" x14ac:dyDescent="0.35">
      <c r="A12" s="8" t="s">
        <v>84</v>
      </c>
      <c r="B12" s="7">
        <v>3201</v>
      </c>
    </row>
    <row r="13" spans="1:2" x14ac:dyDescent="0.35">
      <c r="A13" s="8" t="s">
        <v>85</v>
      </c>
      <c r="B13" s="7">
        <v>3365</v>
      </c>
    </row>
    <row r="14" spans="1:2" x14ac:dyDescent="0.35">
      <c r="A14" s="8" t="s">
        <v>86</v>
      </c>
      <c r="B14" s="7">
        <v>3439</v>
      </c>
    </row>
    <row r="15" spans="1:2" x14ac:dyDescent="0.35">
      <c r="A15" s="8" t="s">
        <v>87</v>
      </c>
      <c r="B15" s="7">
        <v>2852</v>
      </c>
    </row>
    <row r="16" spans="1:2" x14ac:dyDescent="0.35">
      <c r="A16" s="8" t="s">
        <v>88</v>
      </c>
      <c r="B16" s="7">
        <v>2493</v>
      </c>
    </row>
    <row r="17" spans="1:2" x14ac:dyDescent="0.35">
      <c r="A17" s="8" t="s">
        <v>89</v>
      </c>
      <c r="B17" s="7">
        <v>3090</v>
      </c>
    </row>
    <row r="18" spans="1:2" x14ac:dyDescent="0.35">
      <c r="A18" s="8" t="s">
        <v>21</v>
      </c>
      <c r="B18" s="7">
        <v>3255</v>
      </c>
    </row>
    <row r="19" spans="1:2" x14ac:dyDescent="0.35">
      <c r="A19" s="8" t="s">
        <v>22</v>
      </c>
      <c r="B19" s="7">
        <v>3645</v>
      </c>
    </row>
    <row r="20" spans="1:2" x14ac:dyDescent="0.35">
      <c r="A20" s="8" t="s">
        <v>23</v>
      </c>
      <c r="B20" s="7">
        <v>2762</v>
      </c>
    </row>
    <row r="21" spans="1:2" x14ac:dyDescent="0.35">
      <c r="A21" s="8" t="s">
        <v>24</v>
      </c>
      <c r="B21" s="7">
        <v>4027</v>
      </c>
    </row>
    <row r="22" spans="1:2" x14ac:dyDescent="0.35">
      <c r="A22" s="8" t="s">
        <v>25</v>
      </c>
      <c r="B22" s="7">
        <v>6102</v>
      </c>
    </row>
    <row r="23" spans="1:2" x14ac:dyDescent="0.35">
      <c r="A23" s="8" t="s">
        <v>26</v>
      </c>
      <c r="B23" s="7">
        <v>4480</v>
      </c>
    </row>
    <row r="24" spans="1:2" x14ac:dyDescent="0.35">
      <c r="A24" s="8" t="s">
        <v>27</v>
      </c>
      <c r="B24" s="7">
        <v>3510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3DDD-67C7-4CF1-94F3-4E1319B323F9}">
  <dimension ref="A3:B21"/>
  <sheetViews>
    <sheetView workbookViewId="0">
      <selection activeCell="D11" sqref="D11"/>
    </sheetView>
  </sheetViews>
  <sheetFormatPr defaultRowHeight="14.5" x14ac:dyDescent="0.35"/>
  <cols>
    <col min="1" max="1" width="12.453125" bestFit="1" customWidth="1"/>
    <col min="2" max="2" width="25" bestFit="1" customWidth="1"/>
  </cols>
  <sheetData>
    <row r="3" spans="1:2" x14ac:dyDescent="0.35">
      <c r="A3" s="30" t="s">
        <v>113</v>
      </c>
      <c r="B3" t="s">
        <v>115</v>
      </c>
    </row>
    <row r="4" spans="1:2" x14ac:dyDescent="0.35">
      <c r="A4" s="31" t="s">
        <v>33</v>
      </c>
      <c r="B4" s="38">
        <v>3428.79</v>
      </c>
    </row>
    <row r="5" spans="1:2" x14ac:dyDescent="0.35">
      <c r="A5" s="31" t="s">
        <v>119</v>
      </c>
      <c r="B5" s="38">
        <v>3663.45</v>
      </c>
    </row>
    <row r="6" spans="1:2" x14ac:dyDescent="0.35">
      <c r="A6" s="31" t="s">
        <v>120</v>
      </c>
      <c r="B6" s="38">
        <v>3885.68</v>
      </c>
    </row>
    <row r="7" spans="1:2" x14ac:dyDescent="0.35">
      <c r="A7" s="31" t="s">
        <v>127</v>
      </c>
      <c r="B7" s="38">
        <v>920.28</v>
      </c>
    </row>
    <row r="8" spans="1:2" x14ac:dyDescent="0.35">
      <c r="A8" s="31" t="s">
        <v>130</v>
      </c>
      <c r="B8" s="38">
        <v>1553.64</v>
      </c>
    </row>
    <row r="9" spans="1:2" x14ac:dyDescent="0.35">
      <c r="A9" s="31" t="s">
        <v>129</v>
      </c>
      <c r="B9" s="38">
        <v>420.17</v>
      </c>
    </row>
    <row r="10" spans="1:2" x14ac:dyDescent="0.35">
      <c r="A10" s="31" t="s">
        <v>123</v>
      </c>
      <c r="B10" s="38">
        <v>4148.67</v>
      </c>
    </row>
    <row r="11" spans="1:2" x14ac:dyDescent="0.35">
      <c r="A11" s="31" t="s">
        <v>117</v>
      </c>
      <c r="B11" s="38">
        <v>37615.240000000005</v>
      </c>
    </row>
    <row r="12" spans="1:2" x14ac:dyDescent="0.35">
      <c r="A12" s="31" t="s">
        <v>34</v>
      </c>
      <c r="B12" s="38">
        <v>3046.63</v>
      </c>
    </row>
    <row r="13" spans="1:2" x14ac:dyDescent="0.35">
      <c r="A13" s="31" t="s">
        <v>54</v>
      </c>
      <c r="B13" s="38">
        <v>1194.67</v>
      </c>
    </row>
    <row r="14" spans="1:2" x14ac:dyDescent="0.35">
      <c r="A14" s="31" t="s">
        <v>121</v>
      </c>
      <c r="B14" s="38">
        <v>19270.539999999997</v>
      </c>
    </row>
    <row r="15" spans="1:2" x14ac:dyDescent="0.35">
      <c r="A15" s="31" t="s">
        <v>126</v>
      </c>
      <c r="B15" s="38">
        <v>1014.88</v>
      </c>
    </row>
    <row r="16" spans="1:2" x14ac:dyDescent="0.35">
      <c r="A16" s="31" t="s">
        <v>118</v>
      </c>
      <c r="B16" s="38">
        <v>10713.53</v>
      </c>
    </row>
    <row r="17" spans="1:2" x14ac:dyDescent="0.35">
      <c r="A17" s="31" t="s">
        <v>125</v>
      </c>
      <c r="B17" s="38">
        <v>3023.76</v>
      </c>
    </row>
    <row r="18" spans="1:2" x14ac:dyDescent="0.35">
      <c r="A18" s="31" t="s">
        <v>128</v>
      </c>
      <c r="B18" s="38">
        <v>2531.06</v>
      </c>
    </row>
    <row r="19" spans="1:2" x14ac:dyDescent="0.35">
      <c r="A19" s="31" t="s">
        <v>122</v>
      </c>
      <c r="B19" s="38">
        <v>6159.7500000000009</v>
      </c>
    </row>
    <row r="20" spans="1:2" x14ac:dyDescent="0.35">
      <c r="A20" s="31" t="s">
        <v>124</v>
      </c>
      <c r="B20" s="38">
        <v>11214.81</v>
      </c>
    </row>
    <row r="21" spans="1:2" x14ac:dyDescent="0.35">
      <c r="A21" s="31" t="s">
        <v>114</v>
      </c>
      <c r="B21" s="38">
        <v>113805.54999999999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EF05-CDAC-48B0-8D0B-88E7FBB7C1C9}">
  <dimension ref="A3:B7"/>
  <sheetViews>
    <sheetView workbookViewId="0">
      <selection activeCell="L19" sqref="L19"/>
    </sheetView>
  </sheetViews>
  <sheetFormatPr defaultRowHeight="14.5" x14ac:dyDescent="0.35"/>
  <cols>
    <col min="1" max="1" width="12.453125" bestFit="1" customWidth="1"/>
    <col min="2" max="2" width="15.81640625" bestFit="1" customWidth="1"/>
    <col min="3" max="3" width="17.90625" bestFit="1" customWidth="1"/>
    <col min="4" max="4" width="17" bestFit="1" customWidth="1"/>
    <col min="5" max="5" width="18.08984375" bestFit="1" customWidth="1"/>
    <col min="6" max="6" width="23.36328125" bestFit="1" customWidth="1"/>
    <col min="7" max="7" width="26.26953125" bestFit="1" customWidth="1"/>
    <col min="8" max="8" width="24.6328125" bestFit="1" customWidth="1"/>
    <col min="9" max="9" width="20.26953125" bestFit="1" customWidth="1"/>
    <col min="10" max="10" width="14.81640625" bestFit="1" customWidth="1"/>
    <col min="11" max="11" width="18.90625" bestFit="1" customWidth="1"/>
    <col min="12" max="12" width="18.81640625" bestFit="1" customWidth="1"/>
    <col min="13" max="13" width="12.7265625" bestFit="1" customWidth="1"/>
    <col min="14" max="14" width="21.08984375" bestFit="1" customWidth="1"/>
    <col min="15" max="15" width="19.08984375" bestFit="1" customWidth="1"/>
    <col min="16" max="16" width="23" bestFit="1" customWidth="1"/>
    <col min="17" max="17" width="18.90625" bestFit="1" customWidth="1"/>
    <col min="18" max="18" width="18.54296875" bestFit="1" customWidth="1"/>
    <col min="19" max="19" width="10.36328125" bestFit="1" customWidth="1"/>
  </cols>
  <sheetData>
    <row r="3" spans="1:2" x14ac:dyDescent="0.35">
      <c r="A3" s="30" t="s">
        <v>113</v>
      </c>
      <c r="B3" t="s">
        <v>131</v>
      </c>
    </row>
    <row r="4" spans="1:2" x14ac:dyDescent="0.35">
      <c r="A4" s="31" t="s">
        <v>117</v>
      </c>
      <c r="B4" s="32">
        <v>17</v>
      </c>
    </row>
    <row r="5" spans="1:2" x14ac:dyDescent="0.35">
      <c r="A5" s="31" t="s">
        <v>121</v>
      </c>
      <c r="B5" s="32">
        <v>11</v>
      </c>
    </row>
    <row r="6" spans="1:2" x14ac:dyDescent="0.35">
      <c r="A6" s="31" t="s">
        <v>124</v>
      </c>
      <c r="B6" s="32">
        <v>5</v>
      </c>
    </row>
    <row r="7" spans="1:2" x14ac:dyDescent="0.35">
      <c r="A7" s="31" t="s">
        <v>114</v>
      </c>
      <c r="B7" s="32">
        <v>33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FFB-A6EE-4718-8808-25DF8FB67E9E}">
  <dimension ref="A1:C61"/>
  <sheetViews>
    <sheetView workbookViewId="0">
      <selection activeCell="A61" sqref="A1:C61"/>
    </sheetView>
  </sheetViews>
  <sheetFormatPr defaultRowHeight="14.5" x14ac:dyDescent="0.35"/>
  <cols>
    <col min="1" max="1" width="8.7265625" style="1"/>
    <col min="2" max="2" width="28" bestFit="1" customWidth="1"/>
    <col min="3" max="3" width="18.26953125" bestFit="1" customWidth="1"/>
  </cols>
  <sheetData>
    <row r="1" spans="1:3" x14ac:dyDescent="0.35">
      <c r="A1" s="37" t="s">
        <v>72</v>
      </c>
      <c r="B1" s="4" t="s">
        <v>116</v>
      </c>
      <c r="C1" s="4" t="s">
        <v>73</v>
      </c>
    </row>
    <row r="2" spans="1:3" x14ac:dyDescent="0.35">
      <c r="A2" s="36" t="s">
        <v>117</v>
      </c>
      <c r="B2" s="1" t="s">
        <v>1</v>
      </c>
      <c r="C2" s="2">
        <v>5615.56</v>
      </c>
    </row>
    <row r="3" spans="1:3" x14ac:dyDescent="0.35">
      <c r="A3" s="36" t="s">
        <v>117</v>
      </c>
      <c r="B3" s="33" t="s">
        <v>2</v>
      </c>
      <c r="C3" s="34">
        <v>4700.57</v>
      </c>
    </row>
    <row r="4" spans="1:3" x14ac:dyDescent="0.35">
      <c r="A4" s="36" t="s">
        <v>117</v>
      </c>
      <c r="B4" s="33" t="s">
        <v>3</v>
      </c>
      <c r="C4" s="34">
        <v>4421.24</v>
      </c>
    </row>
    <row r="5" spans="1:3" x14ac:dyDescent="0.35">
      <c r="A5" s="36" t="s">
        <v>117</v>
      </c>
      <c r="B5" s="33" t="s">
        <v>5</v>
      </c>
      <c r="C5" s="34">
        <v>3442.1</v>
      </c>
    </row>
    <row r="6" spans="1:3" x14ac:dyDescent="0.35">
      <c r="A6" s="36" t="s">
        <v>117</v>
      </c>
      <c r="B6" s="33" t="s">
        <v>4</v>
      </c>
      <c r="C6" s="34">
        <v>3318.49</v>
      </c>
    </row>
    <row r="7" spans="1:3" x14ac:dyDescent="0.35">
      <c r="A7" s="36" t="s">
        <v>117</v>
      </c>
      <c r="B7" s="33" t="s">
        <v>6</v>
      </c>
      <c r="C7" s="34">
        <v>2268.25</v>
      </c>
    </row>
    <row r="8" spans="1:3" x14ac:dyDescent="0.35">
      <c r="A8" s="36" t="s">
        <v>117</v>
      </c>
      <c r="B8" s="33" t="s">
        <v>7</v>
      </c>
      <c r="C8" s="34">
        <v>2106.73</v>
      </c>
    </row>
    <row r="9" spans="1:3" x14ac:dyDescent="0.35">
      <c r="A9" s="36" t="s">
        <v>117</v>
      </c>
      <c r="B9" s="33" t="s">
        <v>8</v>
      </c>
      <c r="C9" s="34">
        <v>2012.49</v>
      </c>
    </row>
    <row r="10" spans="1:3" x14ac:dyDescent="0.35">
      <c r="A10" s="36" t="s">
        <v>117</v>
      </c>
      <c r="B10" s="33" t="s">
        <v>11</v>
      </c>
      <c r="C10" s="34">
        <v>1354.01</v>
      </c>
    </row>
    <row r="11" spans="1:3" x14ac:dyDescent="0.35">
      <c r="A11" s="36" t="s">
        <v>117</v>
      </c>
      <c r="B11" s="33" t="s">
        <v>10</v>
      </c>
      <c r="C11" s="34">
        <v>1346.81</v>
      </c>
    </row>
    <row r="12" spans="1:3" x14ac:dyDescent="0.35">
      <c r="A12" s="36" t="s">
        <v>117</v>
      </c>
      <c r="B12" s="33" t="s">
        <v>12</v>
      </c>
      <c r="C12" s="34">
        <v>1269.8399999999999</v>
      </c>
    </row>
    <row r="13" spans="1:3" x14ac:dyDescent="0.35">
      <c r="A13" s="36" t="s">
        <v>117</v>
      </c>
      <c r="B13" s="33" t="s">
        <v>14</v>
      </c>
      <c r="C13" s="34">
        <v>1168.78</v>
      </c>
    </row>
    <row r="14" spans="1:3" x14ac:dyDescent="0.35">
      <c r="A14" s="36" t="s">
        <v>117</v>
      </c>
      <c r="B14" s="33" t="s">
        <v>9</v>
      </c>
      <c r="C14" s="34">
        <v>1826.05</v>
      </c>
    </row>
    <row r="15" spans="1:3" x14ac:dyDescent="0.35">
      <c r="A15" s="36" t="s">
        <v>117</v>
      </c>
      <c r="B15" s="33" t="s">
        <v>17</v>
      </c>
      <c r="C15" s="34">
        <v>861.62</v>
      </c>
    </row>
    <row r="16" spans="1:3" x14ac:dyDescent="0.35">
      <c r="A16" s="36" t="s">
        <v>117</v>
      </c>
      <c r="B16" s="33" t="s">
        <v>16</v>
      </c>
      <c r="C16" s="34">
        <v>826.52</v>
      </c>
    </row>
    <row r="17" spans="1:3" x14ac:dyDescent="0.35">
      <c r="A17" s="36" t="s">
        <v>117</v>
      </c>
      <c r="B17" s="33" t="s">
        <v>15</v>
      </c>
      <c r="C17" s="34">
        <v>709.5</v>
      </c>
    </row>
    <row r="18" spans="1:3" x14ac:dyDescent="0.35">
      <c r="A18" s="36" t="s">
        <v>117</v>
      </c>
      <c r="B18" s="33" t="s">
        <v>18</v>
      </c>
      <c r="C18" s="34">
        <v>366.68</v>
      </c>
    </row>
    <row r="19" spans="1:3" x14ac:dyDescent="0.35">
      <c r="A19" s="36" t="s">
        <v>121</v>
      </c>
      <c r="B19" s="1" t="s">
        <v>35</v>
      </c>
      <c r="C19" s="2">
        <v>2716.08</v>
      </c>
    </row>
    <row r="20" spans="1:3" x14ac:dyDescent="0.35">
      <c r="A20" s="36" t="s">
        <v>121</v>
      </c>
      <c r="B20" s="1" t="s">
        <v>32</v>
      </c>
      <c r="C20" s="2">
        <v>3556.67</v>
      </c>
    </row>
    <row r="21" spans="1:3" x14ac:dyDescent="0.35">
      <c r="A21" s="36" t="s">
        <v>121</v>
      </c>
      <c r="B21" s="1" t="s">
        <v>36</v>
      </c>
      <c r="C21" s="2">
        <v>2623.32</v>
      </c>
    </row>
    <row r="22" spans="1:3" x14ac:dyDescent="0.35">
      <c r="A22" s="36" t="s">
        <v>121</v>
      </c>
      <c r="B22" s="1" t="s">
        <v>41</v>
      </c>
      <c r="C22" s="2">
        <v>1837.09</v>
      </c>
    </row>
    <row r="23" spans="1:3" x14ac:dyDescent="0.35">
      <c r="A23" s="36" t="s">
        <v>121</v>
      </c>
      <c r="B23" s="1" t="s">
        <v>51</v>
      </c>
      <c r="C23" s="2">
        <v>1223.72</v>
      </c>
    </row>
    <row r="24" spans="1:3" x14ac:dyDescent="0.35">
      <c r="A24" s="36" t="s">
        <v>121</v>
      </c>
      <c r="B24" s="1" t="s">
        <v>55</v>
      </c>
      <c r="C24" s="2">
        <v>1189.79</v>
      </c>
    </row>
    <row r="25" spans="1:3" x14ac:dyDescent="0.35">
      <c r="A25" s="36" t="s">
        <v>121</v>
      </c>
      <c r="B25" s="1" t="s">
        <v>56</v>
      </c>
      <c r="C25" s="2">
        <v>1099.5999999999999</v>
      </c>
    </row>
    <row r="26" spans="1:3" x14ac:dyDescent="0.35">
      <c r="A26" s="36" t="s">
        <v>121</v>
      </c>
      <c r="B26" s="1" t="s">
        <v>57</v>
      </c>
      <c r="C26" s="2">
        <v>1074.73</v>
      </c>
    </row>
    <row r="27" spans="1:3" x14ac:dyDescent="0.35">
      <c r="A27" s="36" t="s">
        <v>121</v>
      </c>
      <c r="B27" s="1" t="s">
        <v>66</v>
      </c>
      <c r="C27" s="2">
        <v>656.59</v>
      </c>
    </row>
    <row r="28" spans="1:3" x14ac:dyDescent="0.35">
      <c r="A28" s="36" t="s">
        <v>121</v>
      </c>
      <c r="B28" s="1" t="s">
        <v>43</v>
      </c>
      <c r="C28" s="2">
        <v>1706.83</v>
      </c>
    </row>
    <row r="29" spans="1:3" x14ac:dyDescent="0.35">
      <c r="A29" s="36" t="s">
        <v>121</v>
      </c>
      <c r="B29" s="1" t="s">
        <v>46</v>
      </c>
      <c r="C29" s="2">
        <v>1586.12</v>
      </c>
    </row>
    <row r="30" spans="1:3" x14ac:dyDescent="0.35">
      <c r="A30" s="36" t="s">
        <v>122</v>
      </c>
      <c r="B30" s="1" t="s">
        <v>40</v>
      </c>
      <c r="C30" s="2">
        <v>1919.14</v>
      </c>
    </row>
    <row r="31" spans="1:3" x14ac:dyDescent="0.35">
      <c r="A31" s="36" t="s">
        <v>122</v>
      </c>
      <c r="B31" s="1" t="s">
        <v>58</v>
      </c>
      <c r="C31" s="2">
        <v>1028.8699999999999</v>
      </c>
    </row>
    <row r="32" spans="1:3" x14ac:dyDescent="0.35">
      <c r="A32" s="36" t="s">
        <v>122</v>
      </c>
      <c r="B32" s="1" t="s">
        <v>42</v>
      </c>
      <c r="C32" s="2">
        <v>1745.35</v>
      </c>
    </row>
    <row r="33" spans="1:3" x14ac:dyDescent="0.35">
      <c r="A33" s="36" t="s">
        <v>122</v>
      </c>
      <c r="B33" s="1" t="s">
        <v>49</v>
      </c>
      <c r="C33" s="2">
        <v>1466.39</v>
      </c>
    </row>
    <row r="34" spans="1:3" x14ac:dyDescent="0.35">
      <c r="A34" s="36" t="s">
        <v>119</v>
      </c>
      <c r="B34" s="1" t="s">
        <v>45</v>
      </c>
      <c r="C34" s="2">
        <v>1615.23</v>
      </c>
    </row>
    <row r="35" spans="1:3" x14ac:dyDescent="0.35">
      <c r="A35" s="36" t="s">
        <v>119</v>
      </c>
      <c r="B35" s="1" t="s">
        <v>38</v>
      </c>
      <c r="C35" s="2">
        <v>2048.2199999999998</v>
      </c>
    </row>
    <row r="36" spans="1:3" x14ac:dyDescent="0.35">
      <c r="A36" s="36" t="s">
        <v>124</v>
      </c>
      <c r="B36" s="1" t="s">
        <v>52</v>
      </c>
      <c r="C36" s="2">
        <v>1216.93</v>
      </c>
    </row>
    <row r="37" spans="1:3" x14ac:dyDescent="0.35">
      <c r="A37" s="36" t="s">
        <v>124</v>
      </c>
      <c r="B37" s="1" t="s">
        <v>53</v>
      </c>
      <c r="C37" s="2">
        <v>1195.53</v>
      </c>
    </row>
    <row r="38" spans="1:3" x14ac:dyDescent="0.35">
      <c r="A38" s="36" t="s">
        <v>124</v>
      </c>
      <c r="B38" s="1" t="s">
        <v>29</v>
      </c>
      <c r="C38" s="2">
        <v>7873.13</v>
      </c>
    </row>
    <row r="39" spans="1:3" x14ac:dyDescent="0.35">
      <c r="A39" s="36" t="s">
        <v>124</v>
      </c>
      <c r="B39" s="1" t="s">
        <v>68</v>
      </c>
      <c r="C39" s="2">
        <v>522.13</v>
      </c>
    </row>
    <row r="40" spans="1:3" x14ac:dyDescent="0.35">
      <c r="A40" s="36" t="s">
        <v>124</v>
      </c>
      <c r="B40" s="1" t="s">
        <v>71</v>
      </c>
      <c r="C40" s="2">
        <v>407.09</v>
      </c>
    </row>
    <row r="41" spans="1:3" x14ac:dyDescent="0.35">
      <c r="A41" s="36" t="s">
        <v>54</v>
      </c>
      <c r="B41" s="1" t="s">
        <v>54</v>
      </c>
      <c r="C41" s="2">
        <v>1194.67</v>
      </c>
    </row>
    <row r="42" spans="1:3" x14ac:dyDescent="0.35">
      <c r="A42" s="36" t="s">
        <v>120</v>
      </c>
      <c r="B42" s="1" t="s">
        <v>59</v>
      </c>
      <c r="C42" s="2">
        <v>958.79</v>
      </c>
    </row>
    <row r="43" spans="1:3" x14ac:dyDescent="0.35">
      <c r="A43" s="36" t="s">
        <v>120</v>
      </c>
      <c r="B43" s="1" t="s">
        <v>39</v>
      </c>
      <c r="C43" s="2">
        <v>2028.35</v>
      </c>
    </row>
    <row r="44" spans="1:3" x14ac:dyDescent="0.35">
      <c r="A44" s="36" t="s">
        <v>120</v>
      </c>
      <c r="B44" s="1" t="s">
        <v>63</v>
      </c>
      <c r="C44" s="2">
        <v>898.54</v>
      </c>
    </row>
    <row r="45" spans="1:3" x14ac:dyDescent="0.35">
      <c r="A45" s="36" t="s">
        <v>123</v>
      </c>
      <c r="B45" s="1" t="s">
        <v>44</v>
      </c>
      <c r="C45" s="2">
        <v>1691.47</v>
      </c>
    </row>
    <row r="46" spans="1:3" x14ac:dyDescent="0.35">
      <c r="A46" s="36" t="s">
        <v>123</v>
      </c>
      <c r="B46" s="1" t="s">
        <v>60</v>
      </c>
      <c r="C46" s="2">
        <v>957.92</v>
      </c>
    </row>
    <row r="47" spans="1:3" x14ac:dyDescent="0.35">
      <c r="A47" s="36" t="s">
        <v>123</v>
      </c>
      <c r="B47" s="1" t="s">
        <v>48</v>
      </c>
      <c r="C47" s="2">
        <v>1499.28</v>
      </c>
    </row>
    <row r="48" spans="1:3" x14ac:dyDescent="0.35">
      <c r="A48" s="36" t="s">
        <v>125</v>
      </c>
      <c r="B48" s="1" t="s">
        <v>62</v>
      </c>
      <c r="C48" s="2">
        <v>905.77</v>
      </c>
    </row>
    <row r="49" spans="1:3" x14ac:dyDescent="0.35">
      <c r="A49" s="36" t="s">
        <v>125</v>
      </c>
      <c r="B49" s="1" t="s">
        <v>64</v>
      </c>
      <c r="C49" s="2">
        <v>880.38</v>
      </c>
    </row>
    <row r="50" spans="1:3" x14ac:dyDescent="0.35">
      <c r="A50" s="36" t="s">
        <v>125</v>
      </c>
      <c r="B50" s="1" t="s">
        <v>50</v>
      </c>
      <c r="C50" s="2">
        <v>1237.6099999999999</v>
      </c>
    </row>
    <row r="51" spans="1:3" x14ac:dyDescent="0.35">
      <c r="A51" s="36" t="s">
        <v>126</v>
      </c>
      <c r="B51" s="1" t="s">
        <v>69</v>
      </c>
      <c r="C51" s="2">
        <v>461.52</v>
      </c>
    </row>
    <row r="52" spans="1:3" x14ac:dyDescent="0.35">
      <c r="A52" s="36" t="s">
        <v>126</v>
      </c>
      <c r="B52" s="1" t="s">
        <v>67</v>
      </c>
      <c r="C52" s="2">
        <v>553.36</v>
      </c>
    </row>
    <row r="53" spans="1:3" x14ac:dyDescent="0.35">
      <c r="A53" s="36" t="s">
        <v>129</v>
      </c>
      <c r="B53" s="1" t="s">
        <v>70</v>
      </c>
      <c r="C53" s="2">
        <v>420.17</v>
      </c>
    </row>
    <row r="54" spans="1:3" x14ac:dyDescent="0.35">
      <c r="A54" s="36" t="s">
        <v>128</v>
      </c>
      <c r="B54" s="1" t="s">
        <v>37</v>
      </c>
      <c r="C54" s="2">
        <v>2531.06</v>
      </c>
    </row>
    <row r="55" spans="1:3" x14ac:dyDescent="0.35">
      <c r="A55" s="36" t="s">
        <v>127</v>
      </c>
      <c r="B55" s="1" t="s">
        <v>61</v>
      </c>
      <c r="C55" s="2">
        <v>920.28</v>
      </c>
    </row>
    <row r="56" spans="1:3" x14ac:dyDescent="0.35">
      <c r="A56" s="36" t="s">
        <v>130</v>
      </c>
      <c r="B56" s="1" t="s">
        <v>47</v>
      </c>
      <c r="C56" s="2">
        <v>1553.64</v>
      </c>
    </row>
    <row r="57" spans="1:3" x14ac:dyDescent="0.35">
      <c r="A57" s="36" t="s">
        <v>118</v>
      </c>
      <c r="B57" s="1" t="s">
        <v>30</v>
      </c>
      <c r="C57" s="2">
        <v>5205.04</v>
      </c>
    </row>
    <row r="58" spans="1:3" x14ac:dyDescent="0.35">
      <c r="A58" s="36" t="s">
        <v>118</v>
      </c>
      <c r="B58" s="1" t="s">
        <v>31</v>
      </c>
      <c r="C58" s="2">
        <v>4743.12</v>
      </c>
    </row>
    <row r="59" spans="1:3" x14ac:dyDescent="0.35">
      <c r="A59" s="36" t="s">
        <v>118</v>
      </c>
      <c r="B59" s="1" t="s">
        <v>65</v>
      </c>
      <c r="C59" s="2">
        <v>765.37</v>
      </c>
    </row>
    <row r="60" spans="1:3" x14ac:dyDescent="0.35">
      <c r="A60" s="36" t="s">
        <v>33</v>
      </c>
      <c r="B60" s="1" t="s">
        <v>33</v>
      </c>
      <c r="C60" s="2">
        <v>3428.79</v>
      </c>
    </row>
    <row r="61" spans="1:3" x14ac:dyDescent="0.35">
      <c r="A61" s="36" t="s">
        <v>34</v>
      </c>
      <c r="B61" s="1" t="s">
        <v>34</v>
      </c>
      <c r="C61" s="2">
        <v>3046.63</v>
      </c>
    </row>
  </sheetData>
  <autoFilter ref="A1:C53" xr:uid="{2D19CFFB-A6EE-4718-8808-25DF8FB67E9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C7AB-7870-4F07-91C2-CF0F929FBA0A}">
  <dimension ref="A1:U69"/>
  <sheetViews>
    <sheetView topLeftCell="J1" workbookViewId="0">
      <selection activeCell="T1" sqref="T1:U1048576"/>
    </sheetView>
  </sheetViews>
  <sheetFormatPr defaultRowHeight="15.5" thickTop="1" thickBottom="1" x14ac:dyDescent="0.4"/>
  <cols>
    <col min="1" max="1" width="14.90625" style="9" hidden="1" customWidth="1"/>
    <col min="2" max="2" width="9.54296875" style="9" hidden="1" customWidth="1"/>
    <col min="3" max="3" width="18.08984375" style="9" hidden="1" customWidth="1"/>
    <col min="4" max="4" width="15.6328125" style="9" hidden="1" customWidth="1"/>
    <col min="5" max="5" width="12.7265625" style="9" hidden="1" customWidth="1"/>
    <col min="6" max="6" width="12" style="6" hidden="1" customWidth="1"/>
    <col min="7" max="7" width="7.08984375" style="6" bestFit="1" customWidth="1"/>
    <col min="8" max="8" width="13.81640625" style="6" bestFit="1" customWidth="1"/>
    <col min="9" max="9" width="18.08984375" style="6" bestFit="1" customWidth="1"/>
    <col min="10" max="10" width="15.26953125" style="6" bestFit="1" customWidth="1"/>
    <col min="11" max="11" width="9.7265625" style="8" bestFit="1" customWidth="1"/>
    <col min="12" max="13" width="9.7265625" style="23" customWidth="1"/>
    <col min="14" max="14" width="12.6328125" style="6" bestFit="1" customWidth="1"/>
    <col min="15" max="15" width="24" style="6" bestFit="1" customWidth="1"/>
    <col min="16" max="16" width="11.26953125" style="6" bestFit="1" customWidth="1"/>
    <col min="17" max="17" width="14.6328125" style="6" bestFit="1" customWidth="1"/>
    <col min="18" max="19" width="20.7265625" style="6" bestFit="1" customWidth="1"/>
    <col min="22" max="16384" width="8.7265625" style="6"/>
  </cols>
  <sheetData>
    <row r="1" spans="1:19" customFormat="1" thickTop="1" thickBot="1" x14ac:dyDescent="0.4">
      <c r="A1" s="17" t="s">
        <v>28</v>
      </c>
      <c r="B1" s="16" t="s">
        <v>97</v>
      </c>
      <c r="C1" s="17" t="s">
        <v>98</v>
      </c>
      <c r="D1" s="17" t="s">
        <v>99</v>
      </c>
      <c r="E1" s="17" t="s">
        <v>103</v>
      </c>
      <c r="F1" s="17" t="s">
        <v>107</v>
      </c>
      <c r="G1" s="17" t="s">
        <v>95</v>
      </c>
      <c r="H1" s="17" t="s">
        <v>106</v>
      </c>
      <c r="I1" s="15" t="s">
        <v>98</v>
      </c>
      <c r="J1" s="15" t="s">
        <v>100</v>
      </c>
      <c r="K1" s="21" t="s">
        <v>101</v>
      </c>
      <c r="L1" s="21" t="s">
        <v>111</v>
      </c>
      <c r="M1" s="21" t="s">
        <v>112</v>
      </c>
      <c r="N1" s="17" t="s">
        <v>96</v>
      </c>
      <c r="O1" s="17" t="s">
        <v>102</v>
      </c>
      <c r="P1" s="17" t="s">
        <v>104</v>
      </c>
      <c r="Q1" s="17" t="s">
        <v>105</v>
      </c>
      <c r="R1" s="66" t="s">
        <v>169</v>
      </c>
      <c r="S1" s="66" t="s">
        <v>170</v>
      </c>
    </row>
    <row r="2" spans="1:19" thickTop="1" thickBot="1" x14ac:dyDescent="0.4">
      <c r="A2" s="10"/>
      <c r="B2" s="11"/>
      <c r="C2" s="10"/>
      <c r="D2" s="10"/>
      <c r="E2" s="10"/>
      <c r="F2" s="10"/>
      <c r="G2" s="10"/>
      <c r="H2" s="11"/>
      <c r="I2" s="10"/>
      <c r="J2" s="10"/>
      <c r="K2" s="19"/>
      <c r="N2" s="11"/>
      <c r="O2" s="18"/>
      <c r="P2" s="18"/>
      <c r="Q2" s="18"/>
    </row>
    <row r="3" spans="1:19" ht="14.5" customHeight="1" thickTop="1" thickBot="1" x14ac:dyDescent="0.4">
      <c r="A3" s="25" t="s">
        <v>89</v>
      </c>
      <c r="B3" s="24">
        <v>12.853999999999999</v>
      </c>
      <c r="C3" s="27">
        <v>1387</v>
      </c>
      <c r="D3" s="27">
        <v>5222</v>
      </c>
      <c r="E3" s="27">
        <v>732</v>
      </c>
      <c r="F3" s="27">
        <v>8155</v>
      </c>
      <c r="G3" s="10">
        <v>1</v>
      </c>
      <c r="H3" s="12">
        <v>3248</v>
      </c>
      <c r="I3" s="12">
        <v>280</v>
      </c>
      <c r="J3" s="12">
        <v>1298</v>
      </c>
      <c r="K3" s="13">
        <v>2088</v>
      </c>
      <c r="L3" s="23">
        <v>1.2</v>
      </c>
      <c r="M3" s="23">
        <v>-0.5</v>
      </c>
      <c r="N3" s="14">
        <f>(J3/1000)/$B$3</f>
        <v>0.1009802396141279</v>
      </c>
      <c r="O3" s="14">
        <f>N3*I3</f>
        <v>28.274467091955813</v>
      </c>
      <c r="P3" s="14">
        <f t="shared" ref="P3:P34" si="0">N3*K3</f>
        <v>210.84674031429907</v>
      </c>
      <c r="Q3" s="14">
        <f>N3*$E$3</f>
        <v>73.917535397541627</v>
      </c>
      <c r="R3" s="6">
        <f>KelloggSPSS_Data_Seasonality!Y2+KelloggSPSS_Data_Seasonality!Y3*L3+KelloggSPSS_Data_Seasonality!Y4*M3+KelloggSPSS_Data_Seasonality!Y5*O3+KelloggSPSS_Data_Seasonality!Y6*K3+KelloggSPSS_Data_Seasonality!Y7*Q3+KelloggSPSS_Data_Seasonality!Y8*0</f>
        <v>561.17990015559349</v>
      </c>
    </row>
    <row r="4" spans="1:19" ht="14.5" customHeight="1" thickTop="1" thickBot="1" x14ac:dyDescent="0.4">
      <c r="A4" s="25"/>
      <c r="B4" s="24"/>
      <c r="C4" s="27"/>
      <c r="D4" s="27"/>
      <c r="E4" s="27"/>
      <c r="F4" s="27"/>
      <c r="G4" s="10">
        <v>2</v>
      </c>
      <c r="H4" s="12">
        <v>3175</v>
      </c>
      <c r="I4" s="12">
        <v>385</v>
      </c>
      <c r="J4" s="12">
        <v>1305</v>
      </c>
      <c r="K4" s="13">
        <v>1950</v>
      </c>
      <c r="L4" s="23">
        <v>1</v>
      </c>
      <c r="M4" s="23">
        <v>-0.8</v>
      </c>
      <c r="N4" s="14">
        <f t="shared" ref="N4:N6" si="1">(J4/1000)/$B$3</f>
        <v>0.10152481717753228</v>
      </c>
      <c r="O4" s="14">
        <f t="shared" ref="O4:O6" si="2">N4*I4</f>
        <v>39.087054613349927</v>
      </c>
      <c r="P4" s="14">
        <f t="shared" si="0"/>
        <v>197.97339349618795</v>
      </c>
      <c r="Q4" s="14">
        <f t="shared" ref="Q4:Q6" si="3">N4*$E$3</f>
        <v>74.316166173953633</v>
      </c>
      <c r="R4" s="6">
        <f>KelloggSPSS_Data_Seasonality!Y3+KelloggSPSS_Data_Seasonality!Y4*L4+KelloggSPSS_Data_Seasonality!Y5*M4+KelloggSPSS_Data_Seasonality!Y6*O4+KelloggSPSS_Data_Seasonality!Y7*K4+KelloggSPSS_Data_Seasonality!Y8*Q4+KelloggSPSS_Data_Seasonality!Y9*0</f>
        <v>-28575.092120802863</v>
      </c>
    </row>
    <row r="5" spans="1:19" ht="14.5" customHeight="1" thickTop="1" thickBot="1" x14ac:dyDescent="0.4">
      <c r="A5" s="25"/>
      <c r="B5" s="24"/>
      <c r="C5" s="27"/>
      <c r="D5" s="27"/>
      <c r="E5" s="27"/>
      <c r="F5" s="27"/>
      <c r="G5" s="10">
        <v>3</v>
      </c>
      <c r="H5" s="12">
        <v>3246</v>
      </c>
      <c r="I5" s="12">
        <v>333</v>
      </c>
      <c r="J5" s="12">
        <v>1355</v>
      </c>
      <c r="K5" s="13">
        <v>2074</v>
      </c>
      <c r="L5" s="23">
        <v>0.9</v>
      </c>
      <c r="M5" s="23">
        <v>-1.1000000000000001</v>
      </c>
      <c r="N5" s="14">
        <f t="shared" si="1"/>
        <v>0.10541465691613507</v>
      </c>
      <c r="O5" s="14">
        <f t="shared" si="2"/>
        <v>35.10308075307298</v>
      </c>
      <c r="P5" s="14">
        <f t="shared" si="0"/>
        <v>218.62999844406411</v>
      </c>
      <c r="Q5" s="14">
        <f t="shared" si="3"/>
        <v>77.163528862610875</v>
      </c>
      <c r="R5" s="6" t="e">
        <f>KelloggSPSS_Data_Seasonality!Y4+KelloggSPSS_Data_Seasonality!Y5*L5+KelloggSPSS_Data_Seasonality!Y6*M5+KelloggSPSS_Data_Seasonality!Y7*O5+KelloggSPSS_Data_Seasonality!Y8*K5+KelloggSPSS_Data_Seasonality!Y9*Q5+KelloggSPSS_Data_Seasonality!#REF!*0</f>
        <v>#REF!</v>
      </c>
    </row>
    <row r="6" spans="1:19" ht="14.5" customHeight="1" thickTop="1" thickBot="1" x14ac:dyDescent="0.4">
      <c r="A6" s="25"/>
      <c r="B6" s="24"/>
      <c r="C6" s="27"/>
      <c r="D6" s="27"/>
      <c r="E6" s="27"/>
      <c r="F6" s="27"/>
      <c r="G6" s="10">
        <v>4</v>
      </c>
      <c r="H6" s="12">
        <v>3185</v>
      </c>
      <c r="I6" s="12">
        <f>C3-SUM(I3:I5)</f>
        <v>389</v>
      </c>
      <c r="J6" s="12">
        <f>D3-SUM(J3:J5)</f>
        <v>1264</v>
      </c>
      <c r="K6" s="13">
        <f>7903-SUM(K3:K5)</f>
        <v>1791</v>
      </c>
      <c r="L6" s="23">
        <v>1.3</v>
      </c>
      <c r="M6" s="23">
        <v>-0.6</v>
      </c>
      <c r="N6" s="14">
        <f t="shared" si="1"/>
        <v>9.8335148591878016E-2</v>
      </c>
      <c r="O6" s="14">
        <f t="shared" si="2"/>
        <v>38.252372802240551</v>
      </c>
      <c r="P6" s="14">
        <f t="shared" si="0"/>
        <v>176.11825112805352</v>
      </c>
      <c r="Q6" s="14">
        <f t="shared" si="3"/>
        <v>71.981328769254702</v>
      </c>
      <c r="R6" s="6" t="e">
        <f>KelloggSPSS_Data_Seasonality!Y5+KelloggSPSS_Data_Seasonality!Y6*L6+KelloggSPSS_Data_Seasonality!Y7*M6+KelloggSPSS_Data_Seasonality!Y8*O6+KelloggSPSS_Data_Seasonality!Y9*K6+KelloggSPSS_Data_Seasonality!#REF!*Q6+KelloggSPSS_Data_Seasonality!#REF!*0</f>
        <v>#REF!</v>
      </c>
    </row>
    <row r="7" spans="1:19" thickTop="1" thickBot="1" x14ac:dyDescent="0.4">
      <c r="A7" s="25" t="s">
        <v>21</v>
      </c>
      <c r="B7" s="24">
        <v>13.547000000000001</v>
      </c>
      <c r="C7" s="27">
        <v>1706</v>
      </c>
      <c r="D7" s="27">
        <v>5203</v>
      </c>
      <c r="E7" s="27">
        <v>752</v>
      </c>
      <c r="F7" s="27">
        <v>8821</v>
      </c>
      <c r="G7" s="10">
        <v>5</v>
      </c>
      <c r="H7" s="12">
        <v>3401</v>
      </c>
      <c r="I7" s="12">
        <v>510</v>
      </c>
      <c r="J7" s="12">
        <v>1351</v>
      </c>
      <c r="K7" s="13">
        <v>2149</v>
      </c>
      <c r="L7" s="23">
        <v>0.8</v>
      </c>
      <c r="M7" s="23">
        <v>-1.5</v>
      </c>
      <c r="N7" s="14">
        <f>(J7/1000)/$B$7</f>
        <v>9.9726876799291347E-2</v>
      </c>
      <c r="O7" s="14">
        <f>N7*I7</f>
        <v>50.860707167638587</v>
      </c>
      <c r="P7" s="14">
        <f t="shared" si="0"/>
        <v>214.31305824167711</v>
      </c>
      <c r="Q7" s="14">
        <f>N7*$E$7</f>
        <v>74.9946113530671</v>
      </c>
      <c r="R7" s="6" t="e">
        <f>KelloggSPSS_Data_Seasonality!Y6+KelloggSPSS_Data_Seasonality!Y7*L7+KelloggSPSS_Data_Seasonality!Y8*M7+KelloggSPSS_Data_Seasonality!Y9*O7+KelloggSPSS_Data_Seasonality!#REF!*K7+KelloggSPSS_Data_Seasonality!#REF!*Q7+KelloggSPSS_Data_Seasonality!AA2*0</f>
        <v>#REF!</v>
      </c>
    </row>
    <row r="8" spans="1:19" thickTop="1" thickBot="1" x14ac:dyDescent="0.4">
      <c r="A8" s="25"/>
      <c r="B8" s="24"/>
      <c r="C8" s="27"/>
      <c r="D8" s="27"/>
      <c r="E8" s="27"/>
      <c r="F8" s="27"/>
      <c r="G8" s="10">
        <v>6</v>
      </c>
      <c r="H8" s="12">
        <v>3360</v>
      </c>
      <c r="I8" s="12">
        <v>474</v>
      </c>
      <c r="J8" s="12">
        <v>1304</v>
      </c>
      <c r="K8" s="13">
        <v>2151</v>
      </c>
      <c r="L8" s="23">
        <v>1.1000000000000001</v>
      </c>
      <c r="M8" s="23">
        <v>-2</v>
      </c>
      <c r="N8" s="14">
        <f t="shared" ref="N8:N10" si="4">(J8/1000)/$B$7</f>
        <v>9.6257473979478855E-2</v>
      </c>
      <c r="O8" s="14">
        <f t="shared" ref="O8:O34" si="5">N8*I8</f>
        <v>45.62604266627298</v>
      </c>
      <c r="P8" s="14">
        <f t="shared" si="0"/>
        <v>207.04982652985902</v>
      </c>
      <c r="Q8" s="14">
        <f t="shared" ref="Q8:Q10" si="6">N8*$E$7</f>
        <v>72.385620432568103</v>
      </c>
      <c r="R8" s="6" t="e">
        <f>KelloggSPSS_Data_Seasonality!Y7+KelloggSPSS_Data_Seasonality!Y8*L8+KelloggSPSS_Data_Seasonality!Y9*M8+KelloggSPSS_Data_Seasonality!#REF!*O8+KelloggSPSS_Data_Seasonality!#REF!*K8+KelloggSPSS_Data_Seasonality!AA2*Q8+KelloggSPSS_Data_Seasonality!#REF!*0</f>
        <v>#REF!</v>
      </c>
    </row>
    <row r="9" spans="1:19" thickTop="1" thickBot="1" x14ac:dyDescent="0.4">
      <c r="A9" s="25"/>
      <c r="B9" s="24"/>
      <c r="C9" s="27"/>
      <c r="D9" s="27"/>
      <c r="E9" s="27"/>
      <c r="F9" s="27"/>
      <c r="G9" s="10">
        <v>7</v>
      </c>
      <c r="H9" s="12">
        <v>3469</v>
      </c>
      <c r="I9" s="12">
        <v>396</v>
      </c>
      <c r="J9" s="12">
        <v>1330</v>
      </c>
      <c r="K9" s="13">
        <v>2293</v>
      </c>
      <c r="L9" s="23">
        <v>1.4</v>
      </c>
      <c r="M9" s="23">
        <v>-2.2999999999999998</v>
      </c>
      <c r="N9" s="14">
        <f t="shared" si="4"/>
        <v>9.8176718092566617E-2</v>
      </c>
      <c r="O9" s="14">
        <f t="shared" si="5"/>
        <v>38.877980364656381</v>
      </c>
      <c r="P9" s="14">
        <f t="shared" si="0"/>
        <v>225.11921458625525</v>
      </c>
      <c r="Q9" s="14">
        <f t="shared" si="6"/>
        <v>73.828892005610101</v>
      </c>
      <c r="R9" s="6" t="e">
        <f>KelloggSPSS_Data_Seasonality!Y8+KelloggSPSS_Data_Seasonality!Y9*L9+KelloggSPSS_Data_Seasonality!#REF!*M9+KelloggSPSS_Data_Seasonality!#REF!*O9+KelloggSPSS_Data_Seasonality!AA2*K9+KelloggSPSS_Data_Seasonality!#REF!*Q9+KelloggSPSS_Data_Seasonality!#REF!*0</f>
        <v>#REF!</v>
      </c>
    </row>
    <row r="10" spans="1:19" thickTop="1" thickBot="1" x14ac:dyDescent="0.4">
      <c r="A10" s="25"/>
      <c r="B10" s="24"/>
      <c r="C10" s="27"/>
      <c r="D10" s="27"/>
      <c r="E10" s="27"/>
      <c r="F10" s="27"/>
      <c r="G10" s="10">
        <v>8</v>
      </c>
      <c r="H10" s="12">
        <v>3317</v>
      </c>
      <c r="I10" s="12">
        <f>1706-I7-I8-I9</f>
        <v>326</v>
      </c>
      <c r="J10" s="12">
        <f>D7-J7-J8-J9</f>
        <v>1218</v>
      </c>
      <c r="K10" s="13">
        <v>2228</v>
      </c>
      <c r="L10" s="23">
        <v>1.6</v>
      </c>
      <c r="M10" s="23">
        <v>-1.9</v>
      </c>
      <c r="N10" s="14">
        <f t="shared" si="4"/>
        <v>8.9909204990034686E-2</v>
      </c>
      <c r="O10" s="14">
        <f t="shared" si="5"/>
        <v>29.310400826751309</v>
      </c>
      <c r="P10" s="14">
        <f t="shared" si="0"/>
        <v>200.31770871779727</v>
      </c>
      <c r="Q10" s="14">
        <f t="shared" si="6"/>
        <v>67.61172215250609</v>
      </c>
      <c r="R10" s="6" t="e">
        <f>KelloggSPSS_Data_Seasonality!Y9+KelloggSPSS_Data_Seasonality!#REF!*L10+KelloggSPSS_Data_Seasonality!#REF!*M10+KelloggSPSS_Data_Seasonality!AA2*O10+KelloggSPSS_Data_Seasonality!#REF!*K10+KelloggSPSS_Data_Seasonality!#REF!*Q10+KelloggSPSS_Data_Seasonality!AA6*0</f>
        <v>#REF!</v>
      </c>
    </row>
    <row r="11" spans="1:19" thickTop="1" thickBot="1" x14ac:dyDescent="0.4">
      <c r="A11" s="25" t="s">
        <v>22</v>
      </c>
      <c r="B11" s="24">
        <v>13.577999999999999</v>
      </c>
      <c r="C11" s="27">
        <v>1401</v>
      </c>
      <c r="D11" s="27">
        <v>5029</v>
      </c>
      <c r="E11" s="27">
        <v>676</v>
      </c>
      <c r="F11" s="27">
        <v>9197</v>
      </c>
      <c r="G11" s="10">
        <v>9</v>
      </c>
      <c r="H11" s="12">
        <v>3522</v>
      </c>
      <c r="I11" s="12">
        <v>381</v>
      </c>
      <c r="J11" s="12">
        <v>1275</v>
      </c>
      <c r="K11" s="13">
        <v>2415</v>
      </c>
      <c r="L11" s="23">
        <v>1.7</v>
      </c>
      <c r="M11" s="23">
        <v>-2.5</v>
      </c>
      <c r="N11" s="14">
        <f>(J11/1000)/$B$11</f>
        <v>9.3901900132567384E-2</v>
      </c>
      <c r="O11" s="14">
        <f t="shared" si="5"/>
        <v>35.776623950508174</v>
      </c>
      <c r="P11" s="14">
        <f t="shared" si="0"/>
        <v>226.77308882015024</v>
      </c>
      <c r="Q11" s="14">
        <f>N11*$E$11</f>
        <v>63.477684489615555</v>
      </c>
      <c r="R11" s="6" t="e">
        <f>KelloggSPSS_Data_Seasonality!#REF!+KelloggSPSS_Data_Seasonality!#REF!*L11+KelloggSPSS_Data_Seasonality!AA2*M11+KelloggSPSS_Data_Seasonality!#REF!*O11+KelloggSPSS_Data_Seasonality!#REF!*K11+KelloggSPSS_Data_Seasonality!AA6*Q11+KelloggSPSS_Data_Seasonality!AA4*0</f>
        <v>#REF!</v>
      </c>
    </row>
    <row r="12" spans="1:19" thickTop="1" thickBot="1" x14ac:dyDescent="0.4">
      <c r="A12" s="25"/>
      <c r="B12" s="24"/>
      <c r="C12" s="27"/>
      <c r="D12" s="27"/>
      <c r="E12" s="27"/>
      <c r="F12" s="27"/>
      <c r="G12" s="10">
        <v>10</v>
      </c>
      <c r="H12" s="12">
        <v>3461</v>
      </c>
      <c r="I12" s="12">
        <v>397</v>
      </c>
      <c r="J12" s="12">
        <v>1256</v>
      </c>
      <c r="K12" s="13">
        <v>2275</v>
      </c>
      <c r="L12" s="23">
        <v>2</v>
      </c>
      <c r="M12" s="23">
        <v>-3</v>
      </c>
      <c r="N12" s="14">
        <f t="shared" ref="N12:N14" si="7">(J12/1000)/$B$11</f>
        <v>9.2502577699219324E-2</v>
      </c>
      <c r="O12" s="14">
        <f t="shared" si="5"/>
        <v>36.723523346590071</v>
      </c>
      <c r="P12" s="14">
        <f t="shared" si="0"/>
        <v>210.44336426572397</v>
      </c>
      <c r="Q12" s="14">
        <f t="shared" ref="Q12:Q14" si="8">N12*$E$11</f>
        <v>62.531742524672261</v>
      </c>
      <c r="R12" s="6" t="e">
        <f>KelloggSPSS_Data_Seasonality!#REF!+KelloggSPSS_Data_Seasonality!AA2*L12+KelloggSPSS_Data_Seasonality!#REF!*M12+KelloggSPSS_Data_Seasonality!#REF!*O12+KelloggSPSS_Data_Seasonality!AA6*K12+KelloggSPSS_Data_Seasonality!AA4*Q12+KelloggSPSS_Data_Seasonality!Y17*0</f>
        <v>#REF!</v>
      </c>
    </row>
    <row r="13" spans="1:19" thickTop="1" thickBot="1" x14ac:dyDescent="0.4">
      <c r="A13" s="25"/>
      <c r="B13" s="24"/>
      <c r="C13" s="27"/>
      <c r="D13" s="27"/>
      <c r="E13" s="27"/>
      <c r="F13" s="27"/>
      <c r="G13" s="10">
        <v>11</v>
      </c>
      <c r="H13" s="12">
        <v>3372</v>
      </c>
      <c r="I13" s="12">
        <v>263</v>
      </c>
      <c r="J13" s="12">
        <v>1280</v>
      </c>
      <c r="K13" s="13">
        <v>2372</v>
      </c>
      <c r="L13" s="23">
        <v>2.2999999999999998</v>
      </c>
      <c r="M13" s="23">
        <v>-2.8</v>
      </c>
      <c r="N13" s="14">
        <f t="shared" si="7"/>
        <v>9.4270142878185303E-2</v>
      </c>
      <c r="O13" s="14">
        <f t="shared" si="5"/>
        <v>24.793047576962735</v>
      </c>
      <c r="P13" s="14">
        <f t="shared" si="0"/>
        <v>223.60877890705555</v>
      </c>
      <c r="Q13" s="14">
        <f t="shared" si="8"/>
        <v>63.726616585653268</v>
      </c>
      <c r="R13" s="6" t="e">
        <f>KelloggSPSS_Data_Seasonality!AA2+KelloggSPSS_Data_Seasonality!#REF!*L13+KelloggSPSS_Data_Seasonality!#REF!*M13+KelloggSPSS_Data_Seasonality!AA6*O13+KelloggSPSS_Data_Seasonality!AA4*K13+KelloggSPSS_Data_Seasonality!Y17*Q13+KelloggSPSS_Data_Seasonality!Y18*0</f>
        <v>#REF!</v>
      </c>
    </row>
    <row r="14" spans="1:19" thickTop="1" thickBot="1" x14ac:dyDescent="0.4">
      <c r="A14" s="25"/>
      <c r="B14" s="24"/>
      <c r="C14" s="27"/>
      <c r="D14" s="27"/>
      <c r="E14" s="27"/>
      <c r="F14" s="27"/>
      <c r="G14" s="10">
        <v>12</v>
      </c>
      <c r="H14" s="12">
        <v>3223</v>
      </c>
      <c r="I14" s="12">
        <f>C11-(SUM(I11:I13))</f>
        <v>360</v>
      </c>
      <c r="J14" s="12">
        <f>D11-SUM(J11:J13)</f>
        <v>1218</v>
      </c>
      <c r="K14" s="13">
        <v>2135</v>
      </c>
      <c r="L14" s="23">
        <v>2.5</v>
      </c>
      <c r="M14" s="23">
        <v>-2.2000000000000002</v>
      </c>
      <c r="N14" s="14">
        <f t="shared" si="7"/>
        <v>8.9703932832523203E-2</v>
      </c>
      <c r="O14" s="14">
        <f t="shared" si="5"/>
        <v>32.293415819708351</v>
      </c>
      <c r="P14" s="14">
        <f t="shared" si="0"/>
        <v>191.51789659743704</v>
      </c>
      <c r="Q14" s="14">
        <f t="shared" si="8"/>
        <v>60.639858594785686</v>
      </c>
      <c r="R14" s="6" t="e">
        <f>KelloggSPSS_Data_Seasonality!#REF!+KelloggSPSS_Data_Seasonality!#REF!*L14+KelloggSPSS_Data_Seasonality!AA6*M14+KelloggSPSS_Data_Seasonality!AA4*O14+KelloggSPSS_Data_Seasonality!Y17*K14+KelloggSPSS_Data_Seasonality!Y18*Q14+KelloggSPSS_Data_Seasonality!Y19*0</f>
        <v>#REF!</v>
      </c>
    </row>
    <row r="15" spans="1:19" ht="15.5" customHeight="1" thickTop="1" thickBot="1" x14ac:dyDescent="0.4">
      <c r="A15" s="26" t="s">
        <v>23</v>
      </c>
      <c r="B15" s="24">
        <v>13.77</v>
      </c>
      <c r="C15" s="27">
        <v>1761</v>
      </c>
      <c r="D15" s="27">
        <v>5433</v>
      </c>
      <c r="E15" s="27">
        <v>781</v>
      </c>
      <c r="F15" s="27">
        <v>9043</v>
      </c>
      <c r="G15" s="10">
        <v>13</v>
      </c>
      <c r="H15" s="12">
        <v>3412</v>
      </c>
      <c r="I15" s="12">
        <v>459</v>
      </c>
      <c r="J15" s="12">
        <v>1554</v>
      </c>
      <c r="K15" s="13">
        <v>2268</v>
      </c>
      <c r="L15" s="23">
        <v>3.5</v>
      </c>
      <c r="M15" s="23">
        <v>5.8</v>
      </c>
      <c r="N15" s="14">
        <f>(J15/1000)/$B$15</f>
        <v>0.11285403050108933</v>
      </c>
      <c r="O15" s="14">
        <f t="shared" si="5"/>
        <v>51.800000000000004</v>
      </c>
      <c r="P15" s="14">
        <f t="shared" si="0"/>
        <v>255.9529411764706</v>
      </c>
      <c r="Q15" s="14">
        <f>N15*$E$15</f>
        <v>88.13899782135077</v>
      </c>
      <c r="R15" s="6" t="e">
        <f>KelloggSPSS_Data_Seasonality!#REF!+KelloggSPSS_Data_Seasonality!AA6*L15+KelloggSPSS_Data_Seasonality!AA4*M15+KelloggSPSS_Data_Seasonality!Y17*O15+KelloggSPSS_Data_Seasonality!Y18*K15+KelloggSPSS_Data_Seasonality!Y19*Q15+KelloggSPSS_Data_Seasonality!Y20*0</f>
        <v>#REF!</v>
      </c>
    </row>
    <row r="16" spans="1:19" ht="15.5" customHeight="1" thickTop="1" thickBot="1" x14ac:dyDescent="0.4">
      <c r="A16" s="26"/>
      <c r="B16" s="24"/>
      <c r="C16" s="27"/>
      <c r="D16" s="27"/>
      <c r="E16" s="27"/>
      <c r="F16" s="27"/>
      <c r="G16" s="10">
        <v>14</v>
      </c>
      <c r="H16" s="12">
        <v>3465</v>
      </c>
      <c r="I16" s="12">
        <v>506</v>
      </c>
      <c r="J16" s="12">
        <v>1444</v>
      </c>
      <c r="K16" s="13">
        <v>2268</v>
      </c>
      <c r="L16" s="23">
        <v>3.8</v>
      </c>
      <c r="M16" s="23">
        <v>6.2</v>
      </c>
      <c r="N16" s="14">
        <f t="shared" ref="N16:N18" si="9">(J16/1000)/$B$15</f>
        <v>0.10486564996368918</v>
      </c>
      <c r="O16" s="14">
        <f t="shared" si="5"/>
        <v>53.06201888162672</v>
      </c>
      <c r="P16" s="14">
        <f t="shared" si="0"/>
        <v>237.83529411764704</v>
      </c>
      <c r="Q16" s="14">
        <f t="shared" ref="Q16:Q18" si="10">N16*$E$15</f>
        <v>81.900072621641243</v>
      </c>
      <c r="R16" s="6">
        <f>KelloggSPSS_Data_Seasonality!AA6+KelloggSPSS_Data_Seasonality!AA4*L16+KelloggSPSS_Data_Seasonality!Y17*M16+KelloggSPSS_Data_Seasonality!Y18*O16+KelloggSPSS_Data_Seasonality!Y19*K16+KelloggSPSS_Data_Seasonality!Y20*Q16+KelloggSPSS_Data_Seasonality!Y21*0</f>
        <v>149.90800000000002</v>
      </c>
    </row>
    <row r="17" spans="1:18" ht="15.5" customHeight="1" thickTop="1" thickBot="1" x14ac:dyDescent="0.4">
      <c r="A17" s="26"/>
      <c r="B17" s="24"/>
      <c r="C17" s="27"/>
      <c r="D17" s="27"/>
      <c r="E17" s="27"/>
      <c r="F17" s="27"/>
      <c r="G17" s="10">
        <v>15</v>
      </c>
      <c r="H17" s="12">
        <v>3429</v>
      </c>
      <c r="I17" s="12">
        <v>411</v>
      </c>
      <c r="J17" s="12">
        <v>1324</v>
      </c>
      <c r="K17" s="13">
        <v>2228</v>
      </c>
      <c r="L17" s="23">
        <v>4</v>
      </c>
      <c r="M17" s="23">
        <v>5.5</v>
      </c>
      <c r="N17" s="14">
        <f t="shared" si="9"/>
        <v>9.6151053013798116E-2</v>
      </c>
      <c r="O17" s="14">
        <f t="shared" si="5"/>
        <v>39.518082788671023</v>
      </c>
      <c r="P17" s="14">
        <f t="shared" si="0"/>
        <v>214.2245461147422</v>
      </c>
      <c r="Q17" s="14">
        <f t="shared" si="10"/>
        <v>75.093972403776334</v>
      </c>
      <c r="R17" s="6">
        <f>KelloggSPSS_Data_Seasonality!AA4+KelloggSPSS_Data_Seasonality!Y17*L17+KelloggSPSS_Data_Seasonality!Y18*M17+KelloggSPSS_Data_Seasonality!Y19*O17+KelloggSPSS_Data_Seasonality!Y20*K17+KelloggSPSS_Data_Seasonality!Y21*Q17+KelloggSPSS_Data_Seasonality!Y22*0</f>
        <v>39.49</v>
      </c>
    </row>
    <row r="18" spans="1:18" ht="15.5" customHeight="1" thickTop="1" thickBot="1" x14ac:dyDescent="0.4">
      <c r="A18" s="26"/>
      <c r="B18" s="24"/>
      <c r="C18" s="27"/>
      <c r="D18" s="27"/>
      <c r="E18" s="27"/>
      <c r="F18" s="27"/>
      <c r="G18" s="10">
        <v>16</v>
      </c>
      <c r="H18" s="12">
        <f>(B15*1000)- SUM(H15:H17)</f>
        <v>3464</v>
      </c>
      <c r="I18" s="12">
        <f>(C15)- SUM(I15:I17)</f>
        <v>385</v>
      </c>
      <c r="J18" s="12">
        <f>(D15)- SUM(J15:J17)</f>
        <v>1111</v>
      </c>
      <c r="K18" s="13">
        <f>(F15)- SUM(K15:K17)</f>
        <v>2279</v>
      </c>
      <c r="L18" s="23">
        <v>4.2</v>
      </c>
      <c r="M18" s="23">
        <v>4.9000000000000004</v>
      </c>
      <c r="N18" s="14">
        <f t="shared" si="9"/>
        <v>8.0682643427741466E-2</v>
      </c>
      <c r="O18" s="14">
        <f t="shared" si="5"/>
        <v>31.062817719680464</v>
      </c>
      <c r="P18" s="14">
        <f t="shared" si="0"/>
        <v>183.8757443718228</v>
      </c>
      <c r="Q18" s="14">
        <f t="shared" si="10"/>
        <v>63.013144517066081</v>
      </c>
      <c r="R18" s="6">
        <f>KelloggSPSS_Data_Seasonality!Y17+KelloggSPSS_Data_Seasonality!Y18*L18+KelloggSPSS_Data_Seasonality!Y19*M18+KelloggSPSS_Data_Seasonality!Y20*O18+KelloggSPSS_Data_Seasonality!Y21*K18+KelloggSPSS_Data_Seasonality!Y22*Q18+KelloggSPSS_Data_Seasonality!Y23*0</f>
        <v>0</v>
      </c>
    </row>
    <row r="19" spans="1:18" ht="15.5" customHeight="1" thickTop="1" thickBot="1" x14ac:dyDescent="0.4">
      <c r="A19" s="26" t="s">
        <v>24</v>
      </c>
      <c r="B19" s="24">
        <v>14.18</v>
      </c>
      <c r="C19" s="27">
        <v>1752</v>
      </c>
      <c r="D19" s="27">
        <v>5123</v>
      </c>
      <c r="E19" s="27">
        <v>541</v>
      </c>
      <c r="F19" s="27">
        <v>7929</v>
      </c>
      <c r="G19" s="10">
        <v>17</v>
      </c>
      <c r="H19" s="12">
        <v>3584</v>
      </c>
      <c r="I19" s="12">
        <v>472</v>
      </c>
      <c r="J19" s="12">
        <v>1374</v>
      </c>
      <c r="K19" s="13">
        <v>2418</v>
      </c>
      <c r="L19" s="23">
        <v>4.5</v>
      </c>
      <c r="M19" s="23">
        <v>-1.2</v>
      </c>
      <c r="N19" s="14">
        <f>(J19/1000)/$B$19</f>
        <v>9.6897038081805373E-2</v>
      </c>
      <c r="O19" s="14">
        <f t="shared" si="5"/>
        <v>45.735401974612138</v>
      </c>
      <c r="P19" s="14">
        <f t="shared" si="0"/>
        <v>234.2970380818054</v>
      </c>
      <c r="Q19" s="14">
        <f>N19*$E$19</f>
        <v>52.421297602256708</v>
      </c>
      <c r="R19" s="6">
        <f>KelloggSPSS_Data_Seasonality!Y18+KelloggSPSS_Data_Seasonality!Y19*L19+KelloggSPSS_Data_Seasonality!Y20*M19+KelloggSPSS_Data_Seasonality!Y21*O19+KelloggSPSS_Data_Seasonality!Y22*K19+KelloggSPSS_Data_Seasonality!Y23*Q19+KelloggSPSS_Data_Seasonality!Y24*0</f>
        <v>0</v>
      </c>
    </row>
    <row r="20" spans="1:18" ht="15.5" customHeight="1" thickTop="1" thickBot="1" x14ac:dyDescent="0.4">
      <c r="A20" s="26"/>
      <c r="B20" s="24"/>
      <c r="C20" s="27"/>
      <c r="D20" s="27"/>
      <c r="E20" s="27"/>
      <c r="F20" s="27"/>
      <c r="G20" s="10">
        <v>18</v>
      </c>
      <c r="H20" s="12">
        <v>3555</v>
      </c>
      <c r="I20" s="12">
        <v>504</v>
      </c>
      <c r="J20" s="12">
        <v>1336</v>
      </c>
      <c r="K20" s="13">
        <v>2331</v>
      </c>
      <c r="L20" s="23">
        <v>5</v>
      </c>
      <c r="M20" s="23">
        <v>-1.5</v>
      </c>
      <c r="N20" s="14">
        <f t="shared" ref="N20:N22" si="11">(J20/1000)/$B$19</f>
        <v>9.4217207334273634E-2</v>
      </c>
      <c r="O20" s="14">
        <f t="shared" si="5"/>
        <v>47.485472496473911</v>
      </c>
      <c r="P20" s="14">
        <f t="shared" si="0"/>
        <v>219.62031029619183</v>
      </c>
      <c r="Q20" s="14">
        <f t="shared" ref="Q20:Q22" si="12">N20*$E$19</f>
        <v>50.971509167842036</v>
      </c>
      <c r="R20" s="6">
        <f>KelloggSPSS_Data_Seasonality!Y19+KelloggSPSS_Data_Seasonality!Y20*L20+KelloggSPSS_Data_Seasonality!Y21*M20+KelloggSPSS_Data_Seasonality!Y22*O20+KelloggSPSS_Data_Seasonality!Y23*K20+KelloggSPSS_Data_Seasonality!Y24*Q20+KelloggSPSS_Data_Seasonality!Y25*0</f>
        <v>0</v>
      </c>
    </row>
    <row r="21" spans="1:18" ht="15.5" customHeight="1" thickTop="1" thickBot="1" x14ac:dyDescent="0.4">
      <c r="A21" s="26"/>
      <c r="B21" s="24"/>
      <c r="C21" s="27"/>
      <c r="D21" s="27"/>
      <c r="E21" s="27"/>
      <c r="F21" s="27"/>
      <c r="G21" s="10">
        <v>19</v>
      </c>
      <c r="H21" s="12">
        <v>3622</v>
      </c>
      <c r="I21" s="12">
        <v>447</v>
      </c>
      <c r="J21" s="12">
        <v>1313</v>
      </c>
      <c r="K21" s="13">
        <v>2457</v>
      </c>
      <c r="L21" s="23">
        <v>5.3</v>
      </c>
      <c r="M21" s="23">
        <v>-2</v>
      </c>
      <c r="N21" s="14">
        <f t="shared" si="11"/>
        <v>9.2595204513399157E-2</v>
      </c>
      <c r="O21" s="14">
        <f t="shared" si="5"/>
        <v>41.390056417489426</v>
      </c>
      <c r="P21" s="14">
        <f t="shared" si="0"/>
        <v>227.50641748942172</v>
      </c>
      <c r="Q21" s="14">
        <f t="shared" si="12"/>
        <v>50.094005641748943</v>
      </c>
      <c r="R21" s="6">
        <f>KelloggSPSS_Data_Seasonality!Y20+KelloggSPSS_Data_Seasonality!Y21*L21+KelloggSPSS_Data_Seasonality!Y22*M21+KelloggSPSS_Data_Seasonality!Y23*O21+KelloggSPSS_Data_Seasonality!Y24*K21+KelloggSPSS_Data_Seasonality!Y25*Q21+KelloggSPSS_Data_Seasonality!Y26*0</f>
        <v>0</v>
      </c>
    </row>
    <row r="22" spans="1:18" ht="15.5" customHeight="1" thickTop="1" thickBot="1" x14ac:dyDescent="0.4">
      <c r="A22" s="26"/>
      <c r="B22" s="24"/>
      <c r="C22" s="27"/>
      <c r="D22" s="27"/>
      <c r="E22" s="27"/>
      <c r="F22" s="27"/>
      <c r="G22" s="10">
        <v>20</v>
      </c>
      <c r="H22" s="12">
        <f>(B19*1000)- SUM(H19:H21)</f>
        <v>3419</v>
      </c>
      <c r="I22" s="12">
        <f>(C19)- SUM(I19:I21)</f>
        <v>329</v>
      </c>
      <c r="J22" s="12">
        <f>(D19)- SUM(J19:J21)</f>
        <v>1100</v>
      </c>
      <c r="K22" s="13">
        <f>(F19)- SUM(K19:K21)</f>
        <v>723</v>
      </c>
      <c r="L22" s="23">
        <v>5.5</v>
      </c>
      <c r="M22" s="23">
        <v>-2.2999999999999998</v>
      </c>
      <c r="N22" s="14">
        <f t="shared" si="11"/>
        <v>7.7574047954866013E-2</v>
      </c>
      <c r="O22" s="14">
        <f t="shared" si="5"/>
        <v>25.521861777150917</v>
      </c>
      <c r="P22" s="14">
        <f t="shared" si="0"/>
        <v>56.086036671368127</v>
      </c>
      <c r="Q22" s="14">
        <f t="shared" si="12"/>
        <v>41.967559943582515</v>
      </c>
      <c r="R22" s="6">
        <f>KelloggSPSS_Data_Seasonality!Y21+KelloggSPSS_Data_Seasonality!Y22*L22+KelloggSPSS_Data_Seasonality!Y23*M22+KelloggSPSS_Data_Seasonality!Y24*O22+KelloggSPSS_Data_Seasonality!Y25*K22+KelloggSPSS_Data_Seasonality!Y26*Q22+KelloggSPSS_Data_Seasonality!Y27*0</f>
        <v>0</v>
      </c>
    </row>
    <row r="23" spans="1:18" ht="15.5" customHeight="1" thickTop="1" thickBot="1" x14ac:dyDescent="0.4">
      <c r="A23" s="26" t="s">
        <v>25</v>
      </c>
      <c r="B23" s="24">
        <v>15.32</v>
      </c>
      <c r="C23" s="27">
        <v>1635</v>
      </c>
      <c r="D23" s="27">
        <v>5280</v>
      </c>
      <c r="E23" s="27">
        <v>549</v>
      </c>
      <c r="F23" s="27">
        <v>8842</v>
      </c>
      <c r="G23" s="10">
        <v>21</v>
      </c>
      <c r="H23" s="12">
        <v>3672</v>
      </c>
      <c r="I23" s="12">
        <v>517</v>
      </c>
      <c r="J23" s="12">
        <v>1281</v>
      </c>
      <c r="K23" s="13">
        <v>2513</v>
      </c>
      <c r="L23" s="23">
        <v>6.2</v>
      </c>
      <c r="M23" s="23">
        <v>-3.5</v>
      </c>
      <c r="N23" s="14">
        <f>(J23/1000)/$B$23</f>
        <v>8.3616187989556126E-2</v>
      </c>
      <c r="O23" s="14">
        <f t="shared" si="5"/>
        <v>43.229569190600515</v>
      </c>
      <c r="P23" s="14">
        <f t="shared" si="0"/>
        <v>210.12748041775455</v>
      </c>
      <c r="Q23" s="14">
        <f>N23*$E$23</f>
        <v>45.905287206266316</v>
      </c>
      <c r="R23" s="6">
        <f>KelloggSPSS_Data_Seasonality!Y22+KelloggSPSS_Data_Seasonality!Y23*L23+KelloggSPSS_Data_Seasonality!Y24*M23+KelloggSPSS_Data_Seasonality!Y25*O23+KelloggSPSS_Data_Seasonality!Y26*K23+KelloggSPSS_Data_Seasonality!Y27*Q23+KelloggSPSS_Data_Seasonality!Y28*0</f>
        <v>0</v>
      </c>
    </row>
    <row r="24" spans="1:18" ht="15.5" customHeight="1" thickTop="1" thickBot="1" x14ac:dyDescent="0.4">
      <c r="A24" s="26"/>
      <c r="B24" s="24"/>
      <c r="C24" s="27"/>
      <c r="D24" s="27"/>
      <c r="E24" s="27"/>
      <c r="F24" s="27"/>
      <c r="G24" s="10">
        <v>22</v>
      </c>
      <c r="H24" s="12">
        <v>3864</v>
      </c>
      <c r="I24" s="12">
        <v>415</v>
      </c>
      <c r="J24" s="12">
        <v>1342</v>
      </c>
      <c r="K24" s="13">
        <v>2721</v>
      </c>
      <c r="L24" s="23">
        <v>6.5</v>
      </c>
      <c r="M24" s="23">
        <v>-4</v>
      </c>
      <c r="N24" s="14">
        <f>(J24/1000)/$B$23</f>
        <v>8.7597911227154046E-2</v>
      </c>
      <c r="O24" s="14">
        <f t="shared" si="5"/>
        <v>36.353133159268928</v>
      </c>
      <c r="P24" s="14">
        <f t="shared" si="0"/>
        <v>238.35391644908617</v>
      </c>
      <c r="Q24" s="14">
        <f t="shared" ref="Q24:Q26" si="13">N24*$E$23</f>
        <v>48.091253263707571</v>
      </c>
      <c r="R24" s="6">
        <f>KelloggSPSS_Data_Seasonality!Y23+KelloggSPSS_Data_Seasonality!Y24*L24+KelloggSPSS_Data_Seasonality!Y25*M24+KelloggSPSS_Data_Seasonality!Y26*O24+KelloggSPSS_Data_Seasonality!Y27*K24+KelloggSPSS_Data_Seasonality!Y28*Q24+KelloggSPSS_Data_Seasonality!Y29*0</f>
        <v>0</v>
      </c>
    </row>
    <row r="25" spans="1:18" ht="15.5" customHeight="1" thickTop="1" thickBot="1" x14ac:dyDescent="0.4">
      <c r="A25" s="26"/>
      <c r="B25" s="24"/>
      <c r="C25" s="27"/>
      <c r="D25" s="27"/>
      <c r="E25" s="27"/>
      <c r="F25" s="27"/>
      <c r="G25" s="10">
        <v>23</v>
      </c>
      <c r="H25" s="12">
        <v>3946</v>
      </c>
      <c r="I25" s="12">
        <v>368</v>
      </c>
      <c r="J25" s="12">
        <v>1355</v>
      </c>
      <c r="K25" s="13">
        <v>2793</v>
      </c>
      <c r="L25" s="23">
        <v>6.8</v>
      </c>
      <c r="M25" s="23">
        <v>-4.2</v>
      </c>
      <c r="N25" s="14">
        <f>(J25/1000)/$B$23</f>
        <v>8.8446475195822452E-2</v>
      </c>
      <c r="O25" s="14">
        <f t="shared" si="5"/>
        <v>32.548302872062663</v>
      </c>
      <c r="P25" s="14">
        <f t="shared" si="0"/>
        <v>247.03100522193211</v>
      </c>
      <c r="Q25" s="14">
        <f t="shared" si="13"/>
        <v>48.557114882506525</v>
      </c>
      <c r="R25" s="6">
        <f>KelloggSPSS_Data_Seasonality!Y24+KelloggSPSS_Data_Seasonality!Y25*L25+KelloggSPSS_Data_Seasonality!Y26*M25+KelloggSPSS_Data_Seasonality!Y27*O25+KelloggSPSS_Data_Seasonality!Y28*K25+KelloggSPSS_Data_Seasonality!Y29*Q25+KelloggSPSS_Data_Seasonality!Y30*0</f>
        <v>0</v>
      </c>
    </row>
    <row r="26" spans="1:18" ht="15.5" customHeight="1" thickTop="1" thickBot="1" x14ac:dyDescent="0.4">
      <c r="A26" s="26"/>
      <c r="B26" s="24"/>
      <c r="C26" s="27"/>
      <c r="D26" s="27"/>
      <c r="E26" s="27"/>
      <c r="F26" s="27"/>
      <c r="G26" s="10">
        <v>24</v>
      </c>
      <c r="H26" s="12">
        <f>(B23*1000)- SUM(H23:H25)</f>
        <v>3838</v>
      </c>
      <c r="I26" s="12">
        <f>(C23)- SUM(I23:I25)</f>
        <v>335</v>
      </c>
      <c r="J26" s="12">
        <f>(D23)- SUM(J23:J25)</f>
        <v>1302</v>
      </c>
      <c r="K26" s="13">
        <f>(F23)- SUM(K23:K25)</f>
        <v>815</v>
      </c>
      <c r="L26" s="23">
        <v>7</v>
      </c>
      <c r="M26" s="23">
        <v>-3.8</v>
      </c>
      <c r="N26" s="14">
        <f>(J26/1000)/$B$23</f>
        <v>8.4986945169712794E-2</v>
      </c>
      <c r="O26" s="14">
        <f t="shared" si="5"/>
        <v>28.470626631853786</v>
      </c>
      <c r="P26" s="14">
        <f t="shared" si="0"/>
        <v>69.264360313315933</v>
      </c>
      <c r="Q26" s="14">
        <f t="shared" si="13"/>
        <v>46.657832898172323</v>
      </c>
      <c r="R26" s="6">
        <f>KelloggSPSS_Data_Seasonality!Y25+KelloggSPSS_Data_Seasonality!Y26*L26+KelloggSPSS_Data_Seasonality!Y27*M26+KelloggSPSS_Data_Seasonality!Y28*O26+KelloggSPSS_Data_Seasonality!Y29*K26+KelloggSPSS_Data_Seasonality!Y30*Q26+KelloggSPSS_Data_Seasonality!Y31*0</f>
        <v>0</v>
      </c>
    </row>
    <row r="27" spans="1:18" ht="15.5" customHeight="1" thickTop="1" thickBot="1" x14ac:dyDescent="0.4">
      <c r="A27" s="26" t="s">
        <v>26</v>
      </c>
      <c r="B27" s="24">
        <v>13.12</v>
      </c>
      <c r="C27" s="27">
        <v>1505</v>
      </c>
      <c r="D27" s="27">
        <v>2736</v>
      </c>
      <c r="E27" s="27">
        <v>633</v>
      </c>
      <c r="F27" s="27">
        <v>8839</v>
      </c>
      <c r="G27" s="10">
        <v>25</v>
      </c>
      <c r="H27" s="12">
        <v>4053</v>
      </c>
      <c r="I27" s="12">
        <v>346</v>
      </c>
      <c r="J27" s="12">
        <v>679</v>
      </c>
      <c r="K27" s="13">
        <v>2843</v>
      </c>
      <c r="L27" s="23">
        <v>7.2</v>
      </c>
      <c r="M27" s="23">
        <v>-4.5</v>
      </c>
      <c r="N27" s="14">
        <f>(J27/1000)/$B$27</f>
        <v>5.1753048780487809E-2</v>
      </c>
      <c r="O27" s="14">
        <f t="shared" si="5"/>
        <v>17.90655487804878</v>
      </c>
      <c r="P27" s="14">
        <f t="shared" si="0"/>
        <v>147.13391768292684</v>
      </c>
      <c r="Q27" s="14">
        <f>N27*$E$27</f>
        <v>32.759679878048786</v>
      </c>
      <c r="R27" s="6">
        <f>KelloggSPSS_Data_Seasonality!Y26+KelloggSPSS_Data_Seasonality!Y27*L27+KelloggSPSS_Data_Seasonality!Y28*M27+KelloggSPSS_Data_Seasonality!Y29*O27+KelloggSPSS_Data_Seasonality!Y30*K27+KelloggSPSS_Data_Seasonality!Y31*Q27+KelloggSPSS_Data_Seasonality!Y32*0</f>
        <v>0</v>
      </c>
    </row>
    <row r="28" spans="1:18" ht="15.5" customHeight="1" thickTop="1" thickBot="1" x14ac:dyDescent="0.4">
      <c r="A28" s="26"/>
      <c r="B28" s="24"/>
      <c r="C28" s="27"/>
      <c r="D28" s="27"/>
      <c r="E28" s="27"/>
      <c r="F28" s="27"/>
      <c r="G28" s="10">
        <v>26</v>
      </c>
      <c r="H28" s="12">
        <v>4041</v>
      </c>
      <c r="I28" s="12">
        <v>417</v>
      </c>
      <c r="J28" s="12">
        <v>707</v>
      </c>
      <c r="K28" s="13">
        <v>2708</v>
      </c>
      <c r="L28" s="23">
        <v>6.8</v>
      </c>
      <c r="M28" s="23">
        <v>-5.0999999999999996</v>
      </c>
      <c r="N28" s="14">
        <f>(J28/1000)/$B$27</f>
        <v>5.3887195121951219E-2</v>
      </c>
      <c r="O28" s="14">
        <f t="shared" si="5"/>
        <v>22.470960365853657</v>
      </c>
      <c r="P28" s="14">
        <f t="shared" si="0"/>
        <v>145.92652439024391</v>
      </c>
      <c r="Q28" s="14">
        <f t="shared" ref="Q28:Q34" si="14">N28*$E$27</f>
        <v>34.110594512195121</v>
      </c>
      <c r="R28" s="6">
        <f>KelloggSPSS_Data_Seasonality!Y27+KelloggSPSS_Data_Seasonality!Y28*L28+KelloggSPSS_Data_Seasonality!Y29*M28+KelloggSPSS_Data_Seasonality!Y30*O28+KelloggSPSS_Data_Seasonality!Y31*K28+KelloggSPSS_Data_Seasonality!Y32*Q28+KelloggSPSS_Data_Seasonality!Y33*0</f>
        <v>0</v>
      </c>
    </row>
    <row r="29" spans="1:18" ht="15.5" customHeight="1" thickTop="1" thickBot="1" x14ac:dyDescent="0.4">
      <c r="A29" s="26"/>
      <c r="B29" s="24"/>
      <c r="C29" s="27"/>
      <c r="D29" s="27"/>
      <c r="E29" s="27"/>
      <c r="F29" s="27"/>
      <c r="G29" s="10">
        <v>27</v>
      </c>
      <c r="H29" s="12">
        <v>3939</v>
      </c>
      <c r="I29" s="12">
        <v>414</v>
      </c>
      <c r="J29" s="12">
        <v>684</v>
      </c>
      <c r="K29" s="13">
        <v>2596</v>
      </c>
      <c r="L29" s="23">
        <v>6.5</v>
      </c>
      <c r="M29" s="23">
        <v>-5.8</v>
      </c>
      <c r="N29" s="14">
        <f>(J29/1000)/$B$27</f>
        <v>5.2134146341463419E-2</v>
      </c>
      <c r="O29" s="14">
        <f t="shared" si="5"/>
        <v>21.583536585365856</v>
      </c>
      <c r="P29" s="14">
        <f t="shared" si="0"/>
        <v>135.34024390243903</v>
      </c>
      <c r="Q29" s="14">
        <f t="shared" si="14"/>
        <v>33.000914634146348</v>
      </c>
      <c r="R29" s="6">
        <f>KelloggSPSS_Data_Seasonality!Y28+KelloggSPSS_Data_Seasonality!Y29*L29+KelloggSPSS_Data_Seasonality!Y30*M29+KelloggSPSS_Data_Seasonality!Y31*O29+KelloggSPSS_Data_Seasonality!Y32*K29+KelloggSPSS_Data_Seasonality!Y33*Q29+KelloggSPSS_Data_Seasonality!Y34*0</f>
        <v>0</v>
      </c>
    </row>
    <row r="30" spans="1:18" ht="15.5" customHeight="1" thickTop="1" thickBot="1" x14ac:dyDescent="0.4">
      <c r="A30" s="26"/>
      <c r="B30" s="24"/>
      <c r="C30" s="27"/>
      <c r="D30" s="27"/>
      <c r="E30" s="27"/>
      <c r="F30" s="27"/>
      <c r="G30" s="10">
        <v>28</v>
      </c>
      <c r="H30" s="12">
        <f>(B27*1000)- SUM(H27:H29)</f>
        <v>1087</v>
      </c>
      <c r="I30" s="12">
        <f>C27-(SUM(I27:I29))</f>
        <v>328</v>
      </c>
      <c r="J30" s="12">
        <f>D27-SUM(J27:J29)</f>
        <v>666</v>
      </c>
      <c r="K30" s="13">
        <f>(F27)- SUM(K27:K29)</f>
        <v>692</v>
      </c>
      <c r="L30" s="23">
        <v>6.9</v>
      </c>
      <c r="M30" s="23">
        <v>-6</v>
      </c>
      <c r="N30" s="14">
        <f>(J30/1000)/$B$27</f>
        <v>5.0762195121951223E-2</v>
      </c>
      <c r="O30" s="14">
        <f t="shared" si="5"/>
        <v>16.650000000000002</v>
      </c>
      <c r="P30" s="14">
        <f t="shared" si="0"/>
        <v>35.127439024390249</v>
      </c>
      <c r="Q30" s="14">
        <f t="shared" si="14"/>
        <v>32.132469512195122</v>
      </c>
      <c r="R30" s="6">
        <f>KelloggSPSS_Data_Seasonality!Y29+KelloggSPSS_Data_Seasonality!Y30*L30+KelloggSPSS_Data_Seasonality!Y31*M30+KelloggSPSS_Data_Seasonality!Y32*O30+KelloggSPSS_Data_Seasonality!Y33*K30+KelloggSPSS_Data_Seasonality!Y34*Q30+KelloggSPSS_Data_Seasonality!Y35*0</f>
        <v>0</v>
      </c>
    </row>
    <row r="31" spans="1:18" ht="15.5" hidden="1" customHeight="1" thickTop="1" thickBot="1" x14ac:dyDescent="0.4">
      <c r="A31" s="63" t="s">
        <v>109</v>
      </c>
      <c r="B31" s="60">
        <v>12.75</v>
      </c>
      <c r="C31" s="57">
        <v>1873</v>
      </c>
      <c r="D31" s="57">
        <v>2700</v>
      </c>
      <c r="E31" s="57">
        <v>628</v>
      </c>
      <c r="F31" s="57">
        <v>8204</v>
      </c>
      <c r="G31" s="10">
        <v>29</v>
      </c>
      <c r="H31" s="12">
        <v>3200</v>
      </c>
      <c r="I31" s="12">
        <v>393</v>
      </c>
      <c r="J31" s="12">
        <v>687</v>
      </c>
      <c r="K31" s="20">
        <v>2169</v>
      </c>
      <c r="N31" s="14">
        <f>(J31/1000)/$B$31</f>
        <v>5.3882352941176472E-2</v>
      </c>
      <c r="O31" s="14">
        <f t="shared" si="5"/>
        <v>21.175764705882354</v>
      </c>
      <c r="P31" s="14">
        <f t="shared" si="0"/>
        <v>116.87082352941177</v>
      </c>
      <c r="Q31" s="14">
        <f t="shared" si="14"/>
        <v>34.107529411764709</v>
      </c>
      <c r="R31" s="6">
        <f>KelloggSPSS_Data_Seasonality!Y30+KelloggSPSS_Data_Seasonality!Y31*L31+KelloggSPSS_Data_Seasonality!Y32*M31+KelloggSPSS_Data_Seasonality!Y33*O31+KelloggSPSS_Data_Seasonality!Y34*K31+KelloggSPSS_Data_Seasonality!Y35*Q31+KelloggSPSS_Data_Seasonality!Y36*0</f>
        <v>0</v>
      </c>
    </row>
    <row r="32" spans="1:18" ht="15.5" hidden="1" customHeight="1" thickTop="1" thickBot="1" x14ac:dyDescent="0.4">
      <c r="A32" s="63"/>
      <c r="B32" s="61"/>
      <c r="C32" s="58"/>
      <c r="D32" s="58"/>
      <c r="E32" s="58"/>
      <c r="F32" s="58"/>
      <c r="G32" s="10">
        <v>30</v>
      </c>
      <c r="H32" s="12">
        <v>3192</v>
      </c>
      <c r="I32" s="12">
        <v>493</v>
      </c>
      <c r="J32" s="12">
        <v>689</v>
      </c>
      <c r="K32" s="20">
        <v>2031</v>
      </c>
      <c r="N32" s="14">
        <f t="shared" ref="N32:N34" si="15">(J32/1000)/$B$31</f>
        <v>5.4039215686274504E-2</v>
      </c>
      <c r="O32" s="14">
        <f t="shared" si="5"/>
        <v>26.641333333333332</v>
      </c>
      <c r="P32" s="14">
        <f t="shared" si="0"/>
        <v>109.75364705882352</v>
      </c>
      <c r="Q32" s="14">
        <f t="shared" si="14"/>
        <v>34.206823529411764</v>
      </c>
      <c r="R32" s="6">
        <f>KelloggSPSS_Data_Seasonality!Y31+KelloggSPSS_Data_Seasonality!Y32*L32+KelloggSPSS_Data_Seasonality!Y33*M32+KelloggSPSS_Data_Seasonality!Y34*O32+KelloggSPSS_Data_Seasonality!Y35*K32+KelloggSPSS_Data_Seasonality!Y36*Q32+KelloggSPSS_Data_Seasonality!Y37*0</f>
        <v>0</v>
      </c>
    </row>
    <row r="33" spans="1:18" ht="15.5" hidden="1" customHeight="1" thickTop="1" thickBot="1" x14ac:dyDescent="0.4">
      <c r="A33" s="63"/>
      <c r="B33" s="61"/>
      <c r="C33" s="58"/>
      <c r="D33" s="58"/>
      <c r="E33" s="58"/>
      <c r="F33" s="58"/>
      <c r="G33" s="10">
        <v>31</v>
      </c>
      <c r="H33" s="12">
        <v>3233</v>
      </c>
      <c r="I33" s="12">
        <v>456</v>
      </c>
      <c r="J33" s="12">
        <v>690</v>
      </c>
      <c r="K33" s="20">
        <v>2057</v>
      </c>
      <c r="N33" s="14">
        <f t="shared" si="15"/>
        <v>5.4117647058823527E-2</v>
      </c>
      <c r="O33" s="14">
        <f t="shared" si="5"/>
        <v>24.677647058823528</v>
      </c>
      <c r="P33" s="14">
        <f t="shared" si="0"/>
        <v>111.32</v>
      </c>
      <c r="Q33" s="14">
        <f t="shared" si="14"/>
        <v>34.256470588235295</v>
      </c>
      <c r="R33" s="6">
        <f>KelloggSPSS_Data_Seasonality!Y32+KelloggSPSS_Data_Seasonality!Y33*L33+KelloggSPSS_Data_Seasonality!Y34*M33+KelloggSPSS_Data_Seasonality!Y35*O33+KelloggSPSS_Data_Seasonality!Y36*K33+KelloggSPSS_Data_Seasonality!Y37*Q33+KelloggSPSS_Data_Seasonality!Y38*0</f>
        <v>0</v>
      </c>
    </row>
    <row r="34" spans="1:18" ht="15.5" hidden="1" customHeight="1" thickTop="1" thickBot="1" x14ac:dyDescent="0.4">
      <c r="A34" s="63"/>
      <c r="B34" s="62"/>
      <c r="C34" s="59"/>
      <c r="D34" s="59"/>
      <c r="E34" s="59"/>
      <c r="F34" s="59"/>
      <c r="G34" s="10">
        <v>32</v>
      </c>
      <c r="H34" s="12">
        <f>(B31*1000)-(SUM(H31:H33))</f>
        <v>3125</v>
      </c>
      <c r="I34" s="12">
        <f>C31-SUM(I31:I33)</f>
        <v>531</v>
      </c>
      <c r="J34" s="12">
        <f>D31-687-689-690</f>
        <v>634</v>
      </c>
      <c r="K34" s="13">
        <f>(F31)- SUM(K31:K33)</f>
        <v>1947</v>
      </c>
      <c r="N34" s="14">
        <f t="shared" si="15"/>
        <v>4.9725490196078435E-2</v>
      </c>
      <c r="O34" s="14">
        <f t="shared" si="5"/>
        <v>26.404235294117647</v>
      </c>
      <c r="P34" s="14">
        <f t="shared" si="0"/>
        <v>96.815529411764714</v>
      </c>
      <c r="Q34" s="14">
        <f t="shared" si="14"/>
        <v>31.47623529411765</v>
      </c>
      <c r="R34" s="6">
        <f>KelloggSPSS_Data_Seasonality!Y33+KelloggSPSS_Data_Seasonality!Y34*L34+KelloggSPSS_Data_Seasonality!Y35*M34+KelloggSPSS_Data_Seasonality!Y36*O34+KelloggSPSS_Data_Seasonality!Y37*K34+KelloggSPSS_Data_Seasonality!Y38*Q34+KelloggSPSS_Data_Seasonality!Y39*0</f>
        <v>0</v>
      </c>
    </row>
    <row r="35" spans="1:18" thickTop="1" thickBot="1" x14ac:dyDescent="0.4">
      <c r="A35" s="28">
        <v>2024</v>
      </c>
      <c r="B35" s="27">
        <v>15.46</v>
      </c>
      <c r="C35" s="27">
        <v>1982</v>
      </c>
      <c r="D35" s="27">
        <v>5408</v>
      </c>
      <c r="E35" s="27">
        <v>838</v>
      </c>
      <c r="F35" s="27">
        <f>F31+F43</f>
        <v>10119</v>
      </c>
      <c r="G35" s="10">
        <v>33</v>
      </c>
      <c r="H35" s="22">
        <f>H31+H43</f>
        <v>3898</v>
      </c>
      <c r="I35" s="22">
        <f>I43+I31</f>
        <v>421</v>
      </c>
      <c r="J35" s="22">
        <f>J43+J31</f>
        <v>1372</v>
      </c>
      <c r="K35" s="22">
        <f>K31+K43</f>
        <v>2673</v>
      </c>
      <c r="L35" s="23">
        <v>4.2</v>
      </c>
      <c r="M35" s="23">
        <v>-3.2</v>
      </c>
      <c r="N35" s="14">
        <v>1</v>
      </c>
      <c r="O35" s="22">
        <f>O31+O43</f>
        <v>49.175764705882358</v>
      </c>
      <c r="P35" s="14">
        <f>P31+P43</f>
        <v>620.87082352941172</v>
      </c>
      <c r="Q35" s="14">
        <f>Q31+Q43</f>
        <v>84.107529411764716</v>
      </c>
      <c r="R35" s="6">
        <f>KelloggSPSS_Data_Seasonality!Y34+KelloggSPSS_Data_Seasonality!Y35*L35+KelloggSPSS_Data_Seasonality!Y36*M35+KelloggSPSS_Data_Seasonality!Y37*O35+KelloggSPSS_Data_Seasonality!Y38*K35+KelloggSPSS_Data_Seasonality!Y39*Q35+KelloggSPSS_Data_Seasonality!Y40*0</f>
        <v>0</v>
      </c>
    </row>
    <row r="36" spans="1:18" thickTop="1" thickBot="1" x14ac:dyDescent="0.4">
      <c r="A36" s="28"/>
      <c r="B36" s="27"/>
      <c r="C36" s="27"/>
      <c r="D36" s="27"/>
      <c r="E36" s="27"/>
      <c r="F36" s="27"/>
      <c r="G36" s="10">
        <v>34</v>
      </c>
      <c r="H36" s="22">
        <f>H32+H44</f>
        <v>3864</v>
      </c>
      <c r="I36" s="22">
        <f>I44+I32</f>
        <v>540</v>
      </c>
      <c r="J36" s="22">
        <f>J44+J32</f>
        <v>1392</v>
      </c>
      <c r="K36" s="22">
        <f>K32+K44</f>
        <v>2507</v>
      </c>
      <c r="L36" s="23">
        <v>3.9</v>
      </c>
      <c r="M36" s="23">
        <v>-2.8</v>
      </c>
      <c r="N36" s="14">
        <v>1</v>
      </c>
      <c r="O36" s="22">
        <f>O32+O44</f>
        <v>73.641333333333336</v>
      </c>
      <c r="P36" s="14">
        <f>P32+P44</f>
        <v>585.7536470588235</v>
      </c>
      <c r="Q36" s="14">
        <f>Q32+Q44</f>
        <v>82.206823529411764</v>
      </c>
      <c r="R36" s="6">
        <f>KelloggSPSS_Data_Seasonality!Y35+KelloggSPSS_Data_Seasonality!Y36*L36+KelloggSPSS_Data_Seasonality!Y37*M36+KelloggSPSS_Data_Seasonality!Y38*O36+KelloggSPSS_Data_Seasonality!Y39*K36+KelloggSPSS_Data_Seasonality!Y40*Q36+KelloggSPSS_Data_Seasonality!Y41*0</f>
        <v>0</v>
      </c>
    </row>
    <row r="37" spans="1:18" thickTop="1" thickBot="1" x14ac:dyDescent="0.4">
      <c r="A37" s="28"/>
      <c r="B37" s="27"/>
      <c r="C37" s="27"/>
      <c r="D37" s="27"/>
      <c r="E37" s="27"/>
      <c r="F37" s="27"/>
      <c r="G37" s="10">
        <v>35</v>
      </c>
      <c r="H37" s="22">
        <f>H33+H45</f>
        <v>3931</v>
      </c>
      <c r="I37" s="22">
        <f>I45+I33</f>
        <v>468</v>
      </c>
      <c r="J37" s="22">
        <f>J45+J33</f>
        <v>1370</v>
      </c>
      <c r="K37" s="22">
        <f>K33+K45</f>
        <v>2552</v>
      </c>
      <c r="L37" s="23">
        <v>3.8</v>
      </c>
      <c r="M37" s="23">
        <v>-2.5</v>
      </c>
      <c r="N37" s="14">
        <v>1</v>
      </c>
      <c r="O37" s="22">
        <f>O33+O45</f>
        <v>36.677647058823524</v>
      </c>
      <c r="P37" s="14">
        <f>P33+P45</f>
        <v>606.31999999999994</v>
      </c>
      <c r="Q37" s="14">
        <f>Q33+Q45</f>
        <v>82.256470588235288</v>
      </c>
      <c r="R37" s="6">
        <f>KelloggSPSS_Data_Seasonality!Y36+KelloggSPSS_Data_Seasonality!Y37*L37+KelloggSPSS_Data_Seasonality!Y38*M37+KelloggSPSS_Data_Seasonality!Y39*O37+KelloggSPSS_Data_Seasonality!Y40*K37+KelloggSPSS_Data_Seasonality!Y41*Q37+KelloggSPSS_Data_Seasonality!Y42*0</f>
        <v>0</v>
      </c>
    </row>
    <row r="38" spans="1:18" thickTop="1" thickBot="1" x14ac:dyDescent="0.4">
      <c r="A38" s="28"/>
      <c r="B38" s="27"/>
      <c r="C38" s="27"/>
      <c r="D38" s="27"/>
      <c r="E38" s="27"/>
      <c r="F38" s="27"/>
      <c r="G38" s="10">
        <v>36</v>
      </c>
      <c r="H38" s="22">
        <f>H34+H46</f>
        <v>3765</v>
      </c>
      <c r="I38" s="22">
        <f>I46+I34</f>
        <v>553</v>
      </c>
      <c r="J38" s="22">
        <f>J46+J34</f>
        <v>1274</v>
      </c>
      <c r="K38" s="22">
        <f>K34+K46</f>
        <v>2387</v>
      </c>
      <c r="L38" s="23">
        <v>3.8</v>
      </c>
      <c r="M38" s="23">
        <v>-5.6</v>
      </c>
      <c r="N38" s="14">
        <v>1</v>
      </c>
      <c r="O38" s="22">
        <f>O34+O46</f>
        <v>48.404235294117647</v>
      </c>
      <c r="P38" s="14">
        <f>P34+P46</f>
        <v>536.81552941176471</v>
      </c>
      <c r="Q38" s="14">
        <f>Q34+Q46</f>
        <v>95.476235294117657</v>
      </c>
      <c r="R38" s="6">
        <f>KelloggSPSS_Data_Seasonality!Y37+KelloggSPSS_Data_Seasonality!Y38*L38+KelloggSPSS_Data_Seasonality!Y39*M38+KelloggSPSS_Data_Seasonality!Y40*O38+KelloggSPSS_Data_Seasonality!Y41*K38+KelloggSPSS_Data_Seasonality!Y42*Q38+KelloggSPSS_Data_Seasonality!Y43*0</f>
        <v>0</v>
      </c>
    </row>
    <row r="39" spans="1:18" ht="15.5" customHeight="1" thickTop="1" thickBot="1" x14ac:dyDescent="0.4">
      <c r="A39" s="28">
        <v>2025</v>
      </c>
      <c r="B39" s="24"/>
      <c r="C39" s="27"/>
      <c r="D39" s="27"/>
      <c r="E39" s="27"/>
      <c r="F39" s="27"/>
      <c r="G39" s="10">
        <v>37</v>
      </c>
      <c r="H39" s="12"/>
      <c r="I39" s="12"/>
      <c r="J39" s="22"/>
      <c r="K39" s="22"/>
      <c r="N39" s="22"/>
      <c r="O39" s="22"/>
      <c r="P39" s="22"/>
      <c r="Q39" s="22"/>
      <c r="R39" s="6">
        <f>KelloggSPSS_Data_Seasonality!Y38+KelloggSPSS_Data_Seasonality!Y39*L39+KelloggSPSS_Data_Seasonality!Y40*M39+KelloggSPSS_Data_Seasonality!Y41*O39+KelloggSPSS_Data_Seasonality!Y42*K39+KelloggSPSS_Data_Seasonality!Y43*Q39+KelloggSPSS_Data_Seasonality!Y44*0</f>
        <v>0</v>
      </c>
    </row>
    <row r="40" spans="1:18" ht="15.5" customHeight="1" thickTop="1" thickBot="1" x14ac:dyDescent="0.4">
      <c r="A40" s="28"/>
      <c r="B40" s="24"/>
      <c r="C40" s="27"/>
      <c r="D40" s="27"/>
      <c r="E40" s="27"/>
      <c r="F40" s="27"/>
      <c r="G40" s="10">
        <v>38</v>
      </c>
      <c r="H40" s="12"/>
      <c r="I40" s="12"/>
      <c r="J40" s="22"/>
      <c r="K40" s="22"/>
      <c r="N40" s="22"/>
      <c r="O40" s="22"/>
      <c r="P40" s="22"/>
      <c r="Q40" s="22"/>
      <c r="R40" s="6">
        <f>KelloggSPSS_Data_Seasonality!Y39+KelloggSPSS_Data_Seasonality!Y40*L40+KelloggSPSS_Data_Seasonality!Y41*M40+KelloggSPSS_Data_Seasonality!Y42*O40+KelloggSPSS_Data_Seasonality!Y43*K40+KelloggSPSS_Data_Seasonality!Y44*Q40+KelloggSPSS_Data_Seasonality!Y45*0</f>
        <v>0</v>
      </c>
    </row>
    <row r="41" spans="1:18" ht="15.5" customHeight="1" thickTop="1" thickBot="1" x14ac:dyDescent="0.4">
      <c r="A41" s="28"/>
      <c r="B41" s="24"/>
      <c r="C41" s="27"/>
      <c r="D41" s="27"/>
      <c r="E41" s="27"/>
      <c r="F41" s="27"/>
      <c r="G41" s="10">
        <v>39</v>
      </c>
      <c r="H41" s="12"/>
      <c r="I41" s="12"/>
      <c r="J41" s="22"/>
      <c r="K41" s="22"/>
      <c r="N41" s="22"/>
      <c r="O41" s="22"/>
      <c r="P41" s="22"/>
      <c r="Q41" s="22"/>
      <c r="R41" s="6">
        <f>KelloggSPSS_Data_Seasonality!Y40+KelloggSPSS_Data_Seasonality!Y41*L41+KelloggSPSS_Data_Seasonality!Y42*M41+KelloggSPSS_Data_Seasonality!Y43*O41+KelloggSPSS_Data_Seasonality!Y44*K41+KelloggSPSS_Data_Seasonality!Y45*Q41+KelloggSPSS_Data_Seasonality!Y46*0</f>
        <v>0</v>
      </c>
    </row>
    <row r="42" spans="1:18" ht="15.5" customHeight="1" thickTop="1" thickBot="1" x14ac:dyDescent="0.4">
      <c r="A42" s="28"/>
      <c r="B42" s="24"/>
      <c r="C42" s="27"/>
      <c r="D42" s="27"/>
      <c r="E42" s="27"/>
      <c r="F42" s="27"/>
      <c r="G42" s="10">
        <v>40</v>
      </c>
      <c r="H42" s="12"/>
      <c r="I42" s="12"/>
      <c r="J42" s="22"/>
      <c r="K42" s="22"/>
      <c r="N42" s="22"/>
      <c r="O42" s="22"/>
      <c r="P42" s="22"/>
      <c r="Q42" s="22"/>
      <c r="R42" s="6">
        <f>KelloggSPSS_Data_Seasonality!Y41+KelloggSPSS_Data_Seasonality!Y42*L42+KelloggSPSS_Data_Seasonality!Y43*M42+KelloggSPSS_Data_Seasonality!Y44*O42+KelloggSPSS_Data_Seasonality!Y45*K42+KelloggSPSS_Data_Seasonality!Y46*Q42+KelloggSPSS_Data_Seasonality!Y47*0</f>
        <v>0</v>
      </c>
    </row>
    <row r="43" spans="1:18" hidden="1" thickTop="1" thickBot="1" x14ac:dyDescent="0.4">
      <c r="A43" s="26" t="s">
        <v>110</v>
      </c>
      <c r="B43" s="27">
        <v>2.7080000000000002</v>
      </c>
      <c r="C43" s="27" t="s">
        <v>108</v>
      </c>
      <c r="D43" s="27">
        <v>2708</v>
      </c>
      <c r="E43" s="27">
        <v>210</v>
      </c>
      <c r="F43" s="27">
        <v>1915</v>
      </c>
      <c r="G43" s="10">
        <v>41</v>
      </c>
      <c r="H43" s="22">
        <v>698</v>
      </c>
      <c r="I43" s="22">
        <v>28</v>
      </c>
      <c r="J43" s="22">
        <v>685</v>
      </c>
      <c r="K43" s="22">
        <v>504</v>
      </c>
      <c r="N43" s="14"/>
      <c r="O43" s="22">
        <v>28</v>
      </c>
      <c r="P43" s="22">
        <v>504</v>
      </c>
      <c r="Q43" s="22">
        <v>50</v>
      </c>
      <c r="R43" s="6">
        <f>KelloggSPSS_Data_Seasonality!Y42+KelloggSPSS_Data_Seasonality!Y43*L43+KelloggSPSS_Data_Seasonality!Y44*M43+KelloggSPSS_Data_Seasonality!Y45*O43+KelloggSPSS_Data_Seasonality!Y46*K43+KelloggSPSS_Data_Seasonality!Y47*Q43+KelloggSPSS_Data_Seasonality!Y48*0</f>
        <v>0</v>
      </c>
    </row>
    <row r="44" spans="1:18" hidden="1" thickTop="1" thickBot="1" x14ac:dyDescent="0.4">
      <c r="A44" s="26"/>
      <c r="B44" s="27"/>
      <c r="C44" s="27"/>
      <c r="D44" s="27"/>
      <c r="E44" s="27"/>
      <c r="F44" s="27"/>
      <c r="G44" s="10">
        <v>42</v>
      </c>
      <c r="H44" s="22">
        <v>672</v>
      </c>
      <c r="I44" s="22">
        <v>47</v>
      </c>
      <c r="J44" s="22">
        <v>703</v>
      </c>
      <c r="K44" s="22">
        <v>476</v>
      </c>
      <c r="N44" s="14"/>
      <c r="O44" s="22">
        <v>47</v>
      </c>
      <c r="P44" s="22">
        <v>476</v>
      </c>
      <c r="Q44" s="22">
        <v>48</v>
      </c>
      <c r="R44" s="6">
        <f>KelloggSPSS_Data_Seasonality!Y43+KelloggSPSS_Data_Seasonality!Y44*L44+KelloggSPSS_Data_Seasonality!Y45*M44+KelloggSPSS_Data_Seasonality!Y46*O44+KelloggSPSS_Data_Seasonality!Y47*K44+KelloggSPSS_Data_Seasonality!Y48*Q44+KelloggSPSS_Data_Seasonality!Y49*0</f>
        <v>0</v>
      </c>
    </row>
    <row r="45" spans="1:18" hidden="1" thickTop="1" thickBot="1" x14ac:dyDescent="0.4">
      <c r="A45" s="26"/>
      <c r="B45" s="27"/>
      <c r="C45" s="27"/>
      <c r="D45" s="27"/>
      <c r="E45" s="27"/>
      <c r="F45" s="27"/>
      <c r="G45" s="10">
        <v>43</v>
      </c>
      <c r="H45" s="22">
        <v>698</v>
      </c>
      <c r="I45" s="22">
        <v>12</v>
      </c>
      <c r="J45" s="22">
        <v>680</v>
      </c>
      <c r="K45" s="22">
        <v>495</v>
      </c>
      <c r="N45" s="14"/>
      <c r="O45" s="22">
        <v>12</v>
      </c>
      <c r="P45" s="22">
        <v>495</v>
      </c>
      <c r="Q45" s="22">
        <v>48</v>
      </c>
      <c r="R45" s="6">
        <f>KelloggSPSS_Data_Seasonality!Y44+KelloggSPSS_Data_Seasonality!Y45*L45+KelloggSPSS_Data_Seasonality!Y46*M45+KelloggSPSS_Data_Seasonality!Y47*O45+KelloggSPSS_Data_Seasonality!Y48*K45+KelloggSPSS_Data_Seasonality!Y49*Q45+KelloggSPSS_Data_Seasonality!Y50*0</f>
        <v>0</v>
      </c>
    </row>
    <row r="46" spans="1:18" hidden="1" thickTop="1" thickBot="1" x14ac:dyDescent="0.4">
      <c r="A46" s="26"/>
      <c r="B46" s="27"/>
      <c r="C46" s="27"/>
      <c r="D46" s="27"/>
      <c r="E46" s="27"/>
      <c r="F46" s="27"/>
      <c r="G46" s="10">
        <v>44</v>
      </c>
      <c r="H46" s="22">
        <v>640</v>
      </c>
      <c r="I46" s="22">
        <v>22</v>
      </c>
      <c r="J46" s="22">
        <v>640</v>
      </c>
      <c r="K46" s="22">
        <f>F43-K45-K44-K43</f>
        <v>440</v>
      </c>
      <c r="N46" s="14"/>
      <c r="O46" s="22">
        <v>22</v>
      </c>
      <c r="P46" s="22">
        <v>440</v>
      </c>
      <c r="Q46" s="22">
        <v>64</v>
      </c>
      <c r="R46" s="6">
        <f>KelloggSPSS_Data_Seasonality!Y45+KelloggSPSS_Data_Seasonality!Y46*L46+KelloggSPSS_Data_Seasonality!Y47*M46+KelloggSPSS_Data_Seasonality!Y48*O46+KelloggSPSS_Data_Seasonality!Y49*K46+KelloggSPSS_Data_Seasonality!Y50*Q46+KelloggSPSS_Data_Seasonality!Y51*0</f>
        <v>0</v>
      </c>
    </row>
    <row r="48" spans="1:18" thickTop="1" thickBot="1" x14ac:dyDescent="0.4">
      <c r="F48"/>
      <c r="G48"/>
      <c r="N48"/>
    </row>
    <row r="49" spans="6:14" thickTop="1" thickBot="1" x14ac:dyDescent="0.4">
      <c r="F49"/>
      <c r="G49"/>
      <c r="N49"/>
    </row>
    <row r="50" spans="6:14" thickTop="1" thickBot="1" x14ac:dyDescent="0.4">
      <c r="F50"/>
      <c r="G50"/>
      <c r="N50"/>
    </row>
    <row r="51" spans="6:14" thickTop="1" thickBot="1" x14ac:dyDescent="0.4">
      <c r="F51"/>
      <c r="G51"/>
      <c r="N51"/>
    </row>
    <row r="52" spans="6:14" thickTop="1" thickBot="1" x14ac:dyDescent="0.4">
      <c r="F52"/>
      <c r="G52"/>
      <c r="N52"/>
    </row>
    <row r="53" spans="6:14" thickTop="1" thickBot="1" x14ac:dyDescent="0.4">
      <c r="F53"/>
      <c r="G53"/>
      <c r="N53"/>
    </row>
    <row r="54" spans="6:14" thickTop="1" thickBot="1" x14ac:dyDescent="0.4">
      <c r="F54"/>
      <c r="G54"/>
      <c r="N54"/>
    </row>
    <row r="55" spans="6:14" thickTop="1" thickBot="1" x14ac:dyDescent="0.4">
      <c r="F55"/>
      <c r="G55"/>
      <c r="N55"/>
    </row>
    <row r="56" spans="6:14" thickTop="1" thickBot="1" x14ac:dyDescent="0.4">
      <c r="F56"/>
      <c r="G56"/>
      <c r="N56"/>
    </row>
    <row r="57" spans="6:14" thickTop="1" thickBot="1" x14ac:dyDescent="0.4">
      <c r="F57"/>
      <c r="G57"/>
      <c r="N57"/>
    </row>
    <row r="58" spans="6:14" thickTop="1" thickBot="1" x14ac:dyDescent="0.4">
      <c r="F58"/>
      <c r="G58"/>
      <c r="N58"/>
    </row>
    <row r="59" spans="6:14" thickTop="1" thickBot="1" x14ac:dyDescent="0.4">
      <c r="F59"/>
      <c r="G59"/>
      <c r="N59"/>
    </row>
    <row r="60" spans="6:14" thickTop="1" thickBot="1" x14ac:dyDescent="0.4">
      <c r="F60"/>
      <c r="G60"/>
      <c r="N60"/>
    </row>
    <row r="61" spans="6:14" thickTop="1" thickBot="1" x14ac:dyDescent="0.4">
      <c r="F61"/>
      <c r="G61"/>
      <c r="N61"/>
    </row>
    <row r="62" spans="6:14" thickTop="1" thickBot="1" x14ac:dyDescent="0.4">
      <c r="F62"/>
      <c r="G62"/>
      <c r="N62"/>
    </row>
    <row r="63" spans="6:14" thickTop="1" thickBot="1" x14ac:dyDescent="0.4">
      <c r="F63"/>
      <c r="G63"/>
      <c r="N63"/>
    </row>
    <row r="64" spans="6:14" thickTop="1" thickBot="1" x14ac:dyDescent="0.4">
      <c r="F64"/>
      <c r="G64"/>
      <c r="N64"/>
    </row>
    <row r="65" spans="6:14" thickTop="1" thickBot="1" x14ac:dyDescent="0.4">
      <c r="F65"/>
      <c r="G65"/>
      <c r="N65"/>
    </row>
    <row r="66" spans="6:14" thickTop="1" thickBot="1" x14ac:dyDescent="0.4">
      <c r="F66"/>
      <c r="G66"/>
      <c r="N66"/>
    </row>
    <row r="67" spans="6:14" thickTop="1" thickBot="1" x14ac:dyDescent="0.4">
      <c r="F67"/>
      <c r="G67"/>
      <c r="N67"/>
    </row>
    <row r="68" spans="6:14" thickTop="1" thickBot="1" x14ac:dyDescent="0.4">
      <c r="F68"/>
      <c r="G68"/>
      <c r="N68"/>
    </row>
    <row r="69" spans="6:14" thickTop="1" thickBot="1" x14ac:dyDescent="0.4">
      <c r="F69"/>
      <c r="G69"/>
      <c r="N69"/>
    </row>
  </sheetData>
  <mergeCells count="66">
    <mergeCell ref="A43:A46"/>
    <mergeCell ref="B43:B46"/>
    <mergeCell ref="C43:C46"/>
    <mergeCell ref="D43:D46"/>
    <mergeCell ref="E43:E46"/>
    <mergeCell ref="F43:F46"/>
    <mergeCell ref="A39:A42"/>
    <mergeCell ref="B39:B42"/>
    <mergeCell ref="C39:C42"/>
    <mergeCell ref="D39:D42"/>
    <mergeCell ref="E39:E42"/>
    <mergeCell ref="F39:F42"/>
    <mergeCell ref="A35:A38"/>
    <mergeCell ref="B35:B38"/>
    <mergeCell ref="C35:C38"/>
    <mergeCell ref="D35:D38"/>
    <mergeCell ref="E35:E38"/>
    <mergeCell ref="F35:F38"/>
    <mergeCell ref="A31:A34"/>
    <mergeCell ref="B31:B34"/>
    <mergeCell ref="C31:C34"/>
    <mergeCell ref="D31:D34"/>
    <mergeCell ref="E31:E34"/>
    <mergeCell ref="F31:F34"/>
    <mergeCell ref="A27:A30"/>
    <mergeCell ref="B27:B30"/>
    <mergeCell ref="C27:C30"/>
    <mergeCell ref="D27:D30"/>
    <mergeCell ref="E27:E30"/>
    <mergeCell ref="F27:F30"/>
    <mergeCell ref="A23:A26"/>
    <mergeCell ref="B23:B26"/>
    <mergeCell ref="C23:C26"/>
    <mergeCell ref="D23:D26"/>
    <mergeCell ref="E23:E26"/>
    <mergeCell ref="F23:F26"/>
    <mergeCell ref="A19:A22"/>
    <mergeCell ref="B19:B22"/>
    <mergeCell ref="C19:C22"/>
    <mergeCell ref="D19:D22"/>
    <mergeCell ref="E19:E22"/>
    <mergeCell ref="F19:F22"/>
    <mergeCell ref="A15:A18"/>
    <mergeCell ref="B15:B18"/>
    <mergeCell ref="C15:C18"/>
    <mergeCell ref="D15:D18"/>
    <mergeCell ref="E15:E18"/>
    <mergeCell ref="F15:F18"/>
    <mergeCell ref="A11:A14"/>
    <mergeCell ref="B11:B14"/>
    <mergeCell ref="C11:C14"/>
    <mergeCell ref="D11:D14"/>
    <mergeCell ref="E11:E14"/>
    <mergeCell ref="F11:F14"/>
    <mergeCell ref="A7:A10"/>
    <mergeCell ref="B7:B10"/>
    <mergeCell ref="C7:C10"/>
    <mergeCell ref="D7:D10"/>
    <mergeCell ref="E7:E10"/>
    <mergeCell ref="F7:F10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Dataaccumulated</vt:lpstr>
      <vt:lpstr>Sparklines</vt:lpstr>
      <vt:lpstr>Descriptive</vt:lpstr>
      <vt:lpstr>Cost_Smry_Pivot</vt:lpstr>
      <vt:lpstr>KelloggSPSS_Data_Seasonality</vt:lpstr>
      <vt:lpstr>Forecasting_Deseasonalised</vt:lpstr>
      <vt:lpstr>KelloggCustomers_ProductType_20</vt:lpstr>
      <vt:lpstr>CerealProduction_2023_2024</vt:lpstr>
      <vt:lpstr>Customers</vt:lpstr>
      <vt:lpstr>ProductsVariety</vt:lpstr>
      <vt:lpstr>Brands_Customers_2023</vt:lpstr>
      <vt:lpstr>Company_Cereal_Sales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gour</dc:creator>
  <cp:lastModifiedBy>chandrika gour</cp:lastModifiedBy>
  <dcterms:created xsi:type="dcterms:W3CDTF">2025-10-14T14:50:36Z</dcterms:created>
  <dcterms:modified xsi:type="dcterms:W3CDTF">2025-10-24T16:30:47Z</dcterms:modified>
</cp:coreProperties>
</file>